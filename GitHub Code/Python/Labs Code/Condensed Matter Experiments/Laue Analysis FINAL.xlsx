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g646_exeter_ac_uk/Documents/Year 2/Labs/Cm01/"/>
    </mc:Choice>
  </mc:AlternateContent>
  <xr:revisionPtr revIDLastSave="166" documentId="8_{5F5DD437-1E70-4136-9FBB-8E94944450D2}" xr6:coauthVersionLast="47" xr6:coauthVersionMax="47" xr10:uidLastSave="{E3688A2E-1BA4-46A6-9806-5D1246F4175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8" i="1"/>
  <c r="D99" i="1"/>
  <c r="D100" i="1"/>
  <c r="F100" i="1" s="1"/>
  <c r="D101" i="1"/>
  <c r="D102" i="1"/>
  <c r="D103" i="1"/>
  <c r="D104" i="1"/>
  <c r="F104" i="1" s="1"/>
  <c r="D105" i="1"/>
  <c r="D106" i="1"/>
  <c r="F106" i="1" s="1"/>
  <c r="D107" i="1"/>
  <c r="D108" i="1"/>
  <c r="D109" i="1"/>
  <c r="D110" i="1"/>
  <c r="F110" i="1" s="1"/>
  <c r="D111" i="1"/>
  <c r="D112" i="1"/>
  <c r="F112" i="1" s="1"/>
  <c r="D113" i="1"/>
  <c r="D114" i="1"/>
  <c r="D115" i="1"/>
  <c r="D116" i="1"/>
  <c r="D117" i="1"/>
  <c r="D118" i="1"/>
  <c r="F118" i="1" s="1"/>
  <c r="D119" i="1"/>
  <c r="D120" i="1"/>
  <c r="D121" i="1"/>
  <c r="D122" i="1"/>
  <c r="F122" i="1" s="1"/>
  <c r="D123" i="1"/>
  <c r="D77" i="1"/>
  <c r="F77" i="1" s="1"/>
  <c r="D78" i="1"/>
  <c r="D79" i="1"/>
  <c r="F79" i="1" s="1"/>
  <c r="D80" i="1"/>
  <c r="F80" i="1" s="1"/>
  <c r="D81" i="1"/>
  <c r="D82" i="1"/>
  <c r="D83" i="1"/>
  <c r="D84" i="1"/>
  <c r="D85" i="1"/>
  <c r="F85" i="1" s="1"/>
  <c r="D86" i="1"/>
  <c r="F86" i="1" s="1"/>
  <c r="D87" i="1"/>
  <c r="D88" i="1"/>
  <c r="D89" i="1"/>
  <c r="D90" i="1"/>
  <c r="D91" i="1"/>
  <c r="F91" i="1" s="1"/>
  <c r="D92" i="1"/>
  <c r="F92" i="1" s="1"/>
  <c r="D93" i="1"/>
  <c r="D94" i="1"/>
  <c r="D95" i="1"/>
  <c r="D96" i="1"/>
  <c r="D71" i="1"/>
  <c r="D72" i="1"/>
  <c r="D73" i="1"/>
  <c r="D74" i="1"/>
  <c r="F74" i="1" s="1"/>
  <c r="D75" i="1"/>
  <c r="D76" i="1"/>
  <c r="F121" i="1"/>
  <c r="F120" i="1"/>
  <c r="F115" i="1"/>
  <c r="F113" i="1"/>
  <c r="F101" i="1"/>
  <c r="F98" i="1"/>
  <c r="F97" i="1"/>
  <c r="F94" i="1"/>
  <c r="F89" i="1"/>
  <c r="F88" i="1"/>
  <c r="F82" i="1"/>
  <c r="D70" i="1"/>
  <c r="F70" i="1" s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G123" i="1"/>
  <c r="E123" i="1"/>
  <c r="G122" i="1"/>
  <c r="E122" i="1"/>
  <c r="G121" i="1"/>
  <c r="E121" i="1"/>
  <c r="G120" i="1"/>
  <c r="E120" i="1"/>
  <c r="G119" i="1"/>
  <c r="E119" i="1"/>
  <c r="F119" i="1"/>
  <c r="G118" i="1"/>
  <c r="E118" i="1"/>
  <c r="G117" i="1"/>
  <c r="E117" i="1"/>
  <c r="G116" i="1"/>
  <c r="E116" i="1"/>
  <c r="F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F109" i="1"/>
  <c r="E109" i="1"/>
  <c r="G108" i="1"/>
  <c r="E108" i="1"/>
  <c r="F108" i="1" s="1"/>
  <c r="G107" i="1"/>
  <c r="E107" i="1"/>
  <c r="F107" i="1"/>
  <c r="O106" i="1"/>
  <c r="N106" i="1"/>
  <c r="M106" i="1"/>
  <c r="G106" i="1"/>
  <c r="E106" i="1"/>
  <c r="G105" i="1"/>
  <c r="E105" i="1"/>
  <c r="F105" i="1" s="1"/>
  <c r="G104" i="1"/>
  <c r="E104" i="1"/>
  <c r="G103" i="1"/>
  <c r="F103" i="1"/>
  <c r="E103" i="1"/>
  <c r="G102" i="1"/>
  <c r="E102" i="1"/>
  <c r="M101" i="1"/>
  <c r="G101" i="1"/>
  <c r="O101" i="1" s="1"/>
  <c r="E101" i="1"/>
  <c r="N101" i="1" s="1"/>
  <c r="O100" i="1"/>
  <c r="N100" i="1"/>
  <c r="M100" i="1"/>
  <c r="G100" i="1"/>
  <c r="E100" i="1"/>
  <c r="G99" i="1"/>
  <c r="E99" i="1"/>
  <c r="G98" i="1"/>
  <c r="E98" i="1"/>
  <c r="O97" i="1"/>
  <c r="N97" i="1"/>
  <c r="M97" i="1"/>
  <c r="G97" i="1"/>
  <c r="E97" i="1"/>
  <c r="G96" i="1"/>
  <c r="E96" i="1"/>
  <c r="O95" i="1"/>
  <c r="M95" i="1"/>
  <c r="G95" i="1"/>
  <c r="E95" i="1"/>
  <c r="N95" i="1" s="1"/>
  <c r="F95" i="1"/>
  <c r="N94" i="1"/>
  <c r="M94" i="1"/>
  <c r="G94" i="1"/>
  <c r="O94" i="1" s="1"/>
  <c r="E94" i="1"/>
  <c r="G93" i="1"/>
  <c r="E93" i="1"/>
  <c r="F93" i="1" s="1"/>
  <c r="M92" i="1"/>
  <c r="G92" i="1"/>
  <c r="O92" i="1" s="1"/>
  <c r="E92" i="1"/>
  <c r="N92" i="1" s="1"/>
  <c r="O91" i="1"/>
  <c r="N91" i="1"/>
  <c r="M91" i="1"/>
  <c r="G91" i="1"/>
  <c r="E91" i="1"/>
  <c r="G90" i="1"/>
  <c r="E90" i="1"/>
  <c r="F90" i="1"/>
  <c r="G89" i="1"/>
  <c r="E89" i="1"/>
  <c r="G88" i="1"/>
  <c r="E88" i="1"/>
  <c r="G87" i="1"/>
  <c r="E87" i="1"/>
  <c r="F87" i="1" s="1"/>
  <c r="M86" i="1"/>
  <c r="G86" i="1"/>
  <c r="O86" i="1" s="1"/>
  <c r="E86" i="1"/>
  <c r="N86" i="1" s="1"/>
  <c r="O85" i="1"/>
  <c r="N85" i="1"/>
  <c r="M85" i="1"/>
  <c r="G85" i="1"/>
  <c r="E85" i="1"/>
  <c r="G84" i="1"/>
  <c r="E84" i="1"/>
  <c r="F84" i="1"/>
  <c r="G83" i="1"/>
  <c r="E83" i="1"/>
  <c r="F83" i="1"/>
  <c r="G82" i="1"/>
  <c r="E82" i="1"/>
  <c r="G81" i="1"/>
  <c r="E81" i="1"/>
  <c r="F81" i="1" s="1"/>
  <c r="G80" i="1"/>
  <c r="E80" i="1"/>
  <c r="G79" i="1"/>
  <c r="E79" i="1"/>
  <c r="G78" i="1"/>
  <c r="E78" i="1"/>
  <c r="F78" i="1" s="1"/>
  <c r="G77" i="1"/>
  <c r="E77" i="1"/>
  <c r="G76" i="1"/>
  <c r="F76" i="1"/>
  <c r="E76" i="1"/>
  <c r="G75" i="1"/>
  <c r="E75" i="1"/>
  <c r="F75" i="1" s="1"/>
  <c r="G74" i="1"/>
  <c r="E74" i="1"/>
  <c r="G73" i="1"/>
  <c r="F73" i="1"/>
  <c r="E73" i="1"/>
  <c r="G72" i="1"/>
  <c r="E72" i="1"/>
  <c r="G71" i="1"/>
  <c r="E71" i="1"/>
  <c r="F71" i="1"/>
  <c r="G70" i="1"/>
  <c r="E70" i="1"/>
  <c r="O49" i="1"/>
  <c r="O48" i="1"/>
  <c r="O44" i="1"/>
  <c r="O43" i="1"/>
  <c r="O39" i="1"/>
  <c r="O34" i="1"/>
  <c r="O33" i="1"/>
  <c r="O30" i="1"/>
  <c r="O28" i="1"/>
  <c r="O27" i="1"/>
  <c r="O25" i="1"/>
  <c r="O24" i="1"/>
  <c r="O19" i="1"/>
  <c r="O18" i="1"/>
  <c r="O13" i="1"/>
  <c r="O12" i="1"/>
  <c r="M49" i="1"/>
  <c r="M48" i="1"/>
  <c r="M44" i="1"/>
  <c r="M43" i="1"/>
  <c r="M39" i="1"/>
  <c r="M34" i="1"/>
  <c r="M33" i="1"/>
  <c r="M30" i="1"/>
  <c r="M28" i="1"/>
  <c r="M27" i="1"/>
  <c r="M25" i="1"/>
  <c r="M24" i="1"/>
  <c r="M19" i="1"/>
  <c r="M18" i="1"/>
  <c r="M13" i="1"/>
  <c r="M12" i="1"/>
  <c r="N49" i="1"/>
  <c r="N48" i="1"/>
  <c r="N44" i="1"/>
  <c r="N43" i="1"/>
  <c r="N39" i="1"/>
  <c r="N34" i="1"/>
  <c r="N33" i="1"/>
  <c r="N30" i="1"/>
  <c r="N28" i="1"/>
  <c r="N27" i="1"/>
  <c r="N25" i="1"/>
  <c r="N24" i="1"/>
  <c r="N19" i="1"/>
  <c r="N18" i="1"/>
  <c r="N13" i="1"/>
  <c r="N12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3" i="1"/>
  <c r="E56" i="1"/>
  <c r="E55" i="1"/>
  <c r="E54" i="1"/>
  <c r="E53" i="1"/>
  <c r="E52" i="1"/>
  <c r="E51" i="1"/>
  <c r="E50" i="1"/>
  <c r="E49" i="1"/>
  <c r="E48" i="1"/>
  <c r="E46" i="1"/>
  <c r="E45" i="1"/>
  <c r="E44" i="1"/>
  <c r="E43" i="1"/>
  <c r="E41" i="1"/>
  <c r="E40" i="1"/>
  <c r="E38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6" i="1"/>
  <c r="E37" i="1"/>
  <c r="E39" i="1"/>
  <c r="E42" i="1"/>
  <c r="E47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3" i="1"/>
  <c r="C55" i="1"/>
  <c r="C56" i="1"/>
  <c r="C54" i="1"/>
  <c r="C52" i="1"/>
  <c r="C53" i="1"/>
  <c r="C51" i="1"/>
  <c r="C49" i="1"/>
  <c r="C50" i="1"/>
  <c r="C48" i="1"/>
  <c r="C43" i="1"/>
  <c r="C44" i="1"/>
  <c r="C45" i="1"/>
  <c r="C46" i="1"/>
  <c r="C47" i="1"/>
  <c r="C42" i="1"/>
  <c r="C40" i="1"/>
  <c r="C41" i="1"/>
  <c r="C39" i="1"/>
  <c r="C37" i="1"/>
  <c r="C38" i="1"/>
  <c r="C36" i="1"/>
  <c r="C34" i="1"/>
  <c r="C35" i="1"/>
  <c r="C33" i="1"/>
  <c r="C31" i="1"/>
  <c r="C32" i="1"/>
  <c r="C30" i="1"/>
  <c r="C28" i="1"/>
  <c r="C29" i="1"/>
  <c r="C27" i="1"/>
  <c r="C25" i="1"/>
  <c r="C26" i="1"/>
  <c r="C24" i="1"/>
  <c r="C19" i="1"/>
  <c r="C20" i="1"/>
  <c r="C21" i="1"/>
  <c r="C22" i="1"/>
  <c r="C23" i="1"/>
  <c r="C18" i="1"/>
  <c r="C13" i="1"/>
  <c r="C14" i="1"/>
  <c r="C15" i="1"/>
  <c r="C16" i="1"/>
  <c r="C17" i="1"/>
  <c r="C12" i="1"/>
  <c r="C10" i="1"/>
  <c r="C11" i="1"/>
  <c r="C9" i="1"/>
  <c r="C7" i="1"/>
  <c r="C8" i="1"/>
  <c r="C6" i="1"/>
  <c r="C5" i="1"/>
  <c r="C4" i="1"/>
  <c r="C3" i="1"/>
  <c r="F117" i="1" l="1"/>
  <c r="F114" i="1"/>
  <c r="F123" i="1"/>
  <c r="F72" i="1"/>
  <c r="F102" i="1"/>
  <c r="F99" i="1"/>
  <c r="F96" i="1"/>
  <c r="F111" i="1"/>
</calcChain>
</file>

<file path=xl/sharedStrings.xml><?xml version="1.0" encoding="utf-8"?>
<sst xmlns="http://schemas.openxmlformats.org/spreadsheetml/2006/main" count="623" uniqueCount="75">
  <si>
    <t>020</t>
  </si>
  <si>
    <t>002</t>
  </si>
  <si>
    <t>022</t>
  </si>
  <si>
    <t>333</t>
  </si>
  <si>
    <t>222</t>
  </si>
  <si>
    <t>224</t>
  </si>
  <si>
    <t>242</t>
  </si>
  <si>
    <t>422</t>
  </si>
  <si>
    <t>244</t>
  </si>
  <si>
    <t>424</t>
  </si>
  <si>
    <t>442</t>
  </si>
  <si>
    <t>220</t>
  </si>
  <si>
    <t>202</t>
  </si>
  <si>
    <t>240</t>
  </si>
  <si>
    <t>260</t>
  </si>
  <si>
    <t>204</t>
  </si>
  <si>
    <t>024</t>
  </si>
  <si>
    <t>042</t>
  </si>
  <si>
    <t>420</t>
  </si>
  <si>
    <t>402</t>
  </si>
  <si>
    <t>602</t>
  </si>
  <si>
    <t>206</t>
  </si>
  <si>
    <t>026</t>
  </si>
  <si>
    <t>062</t>
  </si>
  <si>
    <t>620</t>
  </si>
  <si>
    <t>226</t>
  </si>
  <si>
    <t>262</t>
  </si>
  <si>
    <t>622</t>
  </si>
  <si>
    <t>113</t>
  </si>
  <si>
    <t>115</t>
  </si>
  <si>
    <t>133</t>
  </si>
  <si>
    <t>135</t>
  </si>
  <si>
    <t>131</t>
  </si>
  <si>
    <t>151</t>
  </si>
  <si>
    <t>331</t>
  </si>
  <si>
    <t>351</t>
  </si>
  <si>
    <t>311</t>
  </si>
  <si>
    <t>511</t>
  </si>
  <si>
    <t>313</t>
  </si>
  <si>
    <t>315</t>
  </si>
  <si>
    <t>531</t>
  </si>
  <si>
    <t>513</t>
  </si>
  <si>
    <t>153</t>
  </si>
  <si>
    <t>335</t>
  </si>
  <si>
    <t>353</t>
  </si>
  <si>
    <t>533</t>
  </si>
  <si>
    <t>111</t>
  </si>
  <si>
    <t>200</t>
  </si>
  <si>
    <t>hkl</t>
  </si>
  <si>
    <t>h^2+k^2+l^2</t>
  </si>
  <si>
    <t>400</t>
  </si>
  <si>
    <t>040</t>
  </si>
  <si>
    <t>004</t>
  </si>
  <si>
    <t>600</t>
  </si>
  <si>
    <t>060</t>
  </si>
  <si>
    <t>006</t>
  </si>
  <si>
    <t>a_LiF = 0.403 nm</t>
  </si>
  <si>
    <t>d [nm]</t>
  </si>
  <si>
    <t>d [m]</t>
  </si>
  <si>
    <t>X-ray WL [m]</t>
  </si>
  <si>
    <t>k/l</t>
  </si>
  <si>
    <t>Min Tube WL [m]</t>
  </si>
  <si>
    <t>Bragg Angle [deg]</t>
  </si>
  <si>
    <t>Meet min WL?</t>
  </si>
  <si>
    <t>Y</t>
  </si>
  <si>
    <t>N</t>
  </si>
  <si>
    <t>0 !&lt; Angle !&lt; 10</t>
  </si>
  <si>
    <t>Max Bragg Angle</t>
  </si>
  <si>
    <t>Angle&lt;30.77?</t>
  </si>
  <si>
    <t>Pass?</t>
  </si>
  <si>
    <t>16 PASS</t>
  </si>
  <si>
    <t>Bragg Angle</t>
  </si>
  <si>
    <t>a_NaCl = 0.564 nm</t>
  </si>
  <si>
    <t>Angle&lt;25.04?</t>
  </si>
  <si>
    <t>10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</si>
</sst>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2" borderId="1" xfId="0" applyFill="1" applyBorder="1"/>
    <xf numFmtId="2" fontId="0" fillId="2" borderId="0" xfId="0" applyNumberFormat="1" applyFill="1"/>
    <xf numFmtId="49" fontId="0" fillId="0" borderId="2" xfId="0" applyNumberFormat="1" applyBorder="1"/>
    <xf numFmtId="0" fontId="2" fillId="4" borderId="2" xfId="0" applyFont="1" applyFill="1" applyBorder="1"/>
    <xf numFmtId="0" fontId="0" fillId="4" borderId="2" xfId="0" applyFill="1" applyBorder="1"/>
    <xf numFmtId="0" fontId="0" fillId="4" borderId="0" xfId="0" applyFill="1"/>
    <xf numFmtId="2" fontId="0" fillId="2" borderId="2" xfId="0" applyNumberFormat="1" applyFill="1" applyBorder="1"/>
    <xf numFmtId="0" fontId="0" fillId="0" borderId="0" xfId="0" applyAlignment="1">
      <alignment horizontal="center"/>
    </xf>
    <xf numFmtId="2" fontId="0" fillId="4" borderId="2" xfId="0" applyNumberFormat="1" applyFill="1" applyBorder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4"/>
  <sheetViews>
    <sheetView tabSelected="1" topLeftCell="A62" workbookViewId="0">
      <selection activeCell="E70" sqref="E70"/>
    </sheetView>
  </sheetViews>
  <sheetFormatPr defaultRowHeight="15" x14ac:dyDescent="0.25"/>
  <cols>
    <col min="1" max="1" width="5.5703125" customWidth="1"/>
    <col min="2" max="2" width="12.140625" customWidth="1"/>
    <col min="4" max="4" width="12" bestFit="1" customWidth="1"/>
    <col min="5" max="5" width="16.42578125" customWidth="1"/>
    <col min="6" max="6" width="12" customWidth="1"/>
    <col min="9" max="9" width="13.5703125" customWidth="1"/>
    <col min="10" max="10" width="14.28515625" customWidth="1"/>
    <col min="11" max="11" width="12.5703125" customWidth="1"/>
    <col min="14" max="14" width="11.140625" customWidth="1"/>
    <col min="18" max="18" width="15.7109375" customWidth="1"/>
  </cols>
  <sheetData>
    <row r="1" spans="1:32" x14ac:dyDescent="0.25">
      <c r="A1" s="14" t="s">
        <v>56</v>
      </c>
      <c r="B1" s="14"/>
      <c r="C1" s="14"/>
      <c r="D1" s="1"/>
      <c r="E1" s="1"/>
      <c r="F1" s="1"/>
      <c r="G1" s="1"/>
      <c r="H1" s="1"/>
      <c r="AA1" s="1">
        <v>111</v>
      </c>
      <c r="AB1" s="1"/>
      <c r="AC1" s="1"/>
      <c r="AD1" s="1"/>
      <c r="AE1" s="1"/>
      <c r="AF1" s="1"/>
    </row>
    <row r="2" spans="1:32" x14ac:dyDescent="0.25">
      <c r="A2" t="s">
        <v>48</v>
      </c>
      <c r="B2" t="s">
        <v>49</v>
      </c>
      <c r="C2" s="2" t="s">
        <v>57</v>
      </c>
      <c r="D2" t="s">
        <v>58</v>
      </c>
      <c r="E2" s="1" t="s">
        <v>62</v>
      </c>
      <c r="F2" s="1" t="s">
        <v>59</v>
      </c>
      <c r="G2" s="1" t="s">
        <v>60</v>
      </c>
      <c r="H2" s="1"/>
      <c r="I2" s="1" t="s">
        <v>63</v>
      </c>
      <c r="J2" s="1" t="s">
        <v>66</v>
      </c>
      <c r="K2" s="1" t="s">
        <v>68</v>
      </c>
      <c r="L2" s="1" t="s">
        <v>69</v>
      </c>
      <c r="M2" s="9" t="s">
        <v>48</v>
      </c>
      <c r="N2" s="1" t="s">
        <v>71</v>
      </c>
      <c r="O2" s="1" t="s">
        <v>60</v>
      </c>
      <c r="R2" s="1" t="s">
        <v>61</v>
      </c>
      <c r="AA2" s="1">
        <v>222</v>
      </c>
      <c r="AB2" s="1"/>
      <c r="AC2" s="1"/>
      <c r="AD2" s="1"/>
      <c r="AE2" s="1"/>
      <c r="AF2" s="1"/>
    </row>
    <row r="3" spans="1:32" x14ac:dyDescent="0.25">
      <c r="A3" s="1" t="s">
        <v>46</v>
      </c>
      <c r="B3">
        <v>3</v>
      </c>
      <c r="C3">
        <f>0.403/SQRT(1+1+1)</f>
        <v>0.23267215848341921</v>
      </c>
      <c r="D3">
        <f>0.000000000403/SQRT(B3)</f>
        <v>2.3267215848341919E-10</v>
      </c>
      <c r="E3" s="2">
        <f>ASIN(1/SQRT(B3))*180/PI()</f>
        <v>35.264389682754668</v>
      </c>
      <c r="F3">
        <f>2*D3*SIN(RADIANS(E3))</f>
        <v>2.6866666666666677E-10</v>
      </c>
      <c r="G3">
        <f>1/1</f>
        <v>1</v>
      </c>
      <c r="H3" s="1"/>
      <c r="I3" s="4" t="s">
        <v>64</v>
      </c>
      <c r="J3" s="4" t="s">
        <v>64</v>
      </c>
      <c r="K3" s="5" t="s">
        <v>65</v>
      </c>
      <c r="L3" s="5" t="s">
        <v>65</v>
      </c>
      <c r="M3" s="11"/>
      <c r="N3" s="12"/>
      <c r="O3" s="12"/>
      <c r="R3" s="3">
        <v>3.5419999999999999E-11</v>
      </c>
      <c r="AA3" s="1">
        <v>333</v>
      </c>
      <c r="AB3" s="1"/>
      <c r="AC3" s="1"/>
      <c r="AD3" s="1"/>
      <c r="AE3" s="1"/>
      <c r="AF3" s="1"/>
    </row>
    <row r="4" spans="1:32" x14ac:dyDescent="0.25">
      <c r="A4" s="1" t="s">
        <v>4</v>
      </c>
      <c r="B4">
        <v>12</v>
      </c>
      <c r="C4">
        <f>0.403/SQRT(2^2+2^2+2^2)</f>
        <v>0.11633607924170961</v>
      </c>
      <c r="D4">
        <f t="shared" ref="D4:D56" si="0">0.000000000403/SQRT(B4)</f>
        <v>1.1633607924170959E-10</v>
      </c>
      <c r="E4" s="2">
        <f>ASIN(2/SQRT(B4))*180/PI()</f>
        <v>35.264389682754668</v>
      </c>
      <c r="F4">
        <f t="shared" ref="F4:F56" si="1">2*D4*SIN(RADIANS(E4))</f>
        <v>1.3433333333333339E-10</v>
      </c>
      <c r="G4">
        <f>2/2</f>
        <v>1</v>
      </c>
      <c r="H4" s="1"/>
      <c r="I4" s="4" t="s">
        <v>64</v>
      </c>
      <c r="J4" s="4" t="s">
        <v>64</v>
      </c>
      <c r="K4" s="5" t="s">
        <v>65</v>
      </c>
      <c r="L4" s="5" t="s">
        <v>65</v>
      </c>
      <c r="M4" s="11"/>
      <c r="N4" s="12"/>
      <c r="O4" s="12"/>
      <c r="R4" t="s">
        <v>67</v>
      </c>
      <c r="AA4" s="1">
        <v>200</v>
      </c>
      <c r="AB4" s="1" t="s">
        <v>0</v>
      </c>
      <c r="AC4" s="1" t="s">
        <v>1</v>
      </c>
      <c r="AD4" s="1"/>
      <c r="AE4" s="1"/>
      <c r="AF4" s="1"/>
    </row>
    <row r="5" spans="1:32" x14ac:dyDescent="0.25">
      <c r="A5" s="1" t="s">
        <v>3</v>
      </c>
      <c r="B5">
        <v>27</v>
      </c>
      <c r="C5">
        <f>0.403/SQRT(3^2+3^2+3^2)</f>
        <v>7.7557386161139732E-2</v>
      </c>
      <c r="D5">
        <f t="shared" si="0"/>
        <v>7.7557386161139725E-11</v>
      </c>
      <c r="E5" s="2">
        <f>ASIN(3/SQRT(B5))*180/PI()</f>
        <v>35.264389682754654</v>
      </c>
      <c r="F5">
        <f t="shared" si="1"/>
        <v>8.9555555555555565E-11</v>
      </c>
      <c r="G5">
        <f>3/3</f>
        <v>1</v>
      </c>
      <c r="H5" s="1"/>
      <c r="I5" s="4" t="s">
        <v>64</v>
      </c>
      <c r="J5" s="4" t="s">
        <v>64</v>
      </c>
      <c r="K5" s="5" t="s">
        <v>65</v>
      </c>
      <c r="L5" s="5" t="s">
        <v>65</v>
      </c>
      <c r="M5" s="11"/>
      <c r="N5" s="12"/>
      <c r="O5" s="12"/>
      <c r="R5">
        <v>30.77</v>
      </c>
      <c r="AA5" s="1" t="s">
        <v>11</v>
      </c>
      <c r="AB5" s="1" t="s">
        <v>12</v>
      </c>
      <c r="AC5" s="1" t="s">
        <v>2</v>
      </c>
      <c r="AD5" s="1"/>
      <c r="AE5" s="1"/>
      <c r="AF5" s="1"/>
    </row>
    <row r="6" spans="1:32" x14ac:dyDescent="0.25">
      <c r="A6" s="1" t="s">
        <v>47</v>
      </c>
      <c r="B6">
        <v>4</v>
      </c>
      <c r="C6">
        <f>0.403/SQRT(2^2+0+0)</f>
        <v>0.20150000000000001</v>
      </c>
      <c r="D6">
        <f t="shared" si="0"/>
        <v>2.015E-10</v>
      </c>
      <c r="E6" s="2">
        <f>ASIN(2/SQRT(B6))*180/PI()</f>
        <v>90</v>
      </c>
      <c r="F6">
        <f t="shared" si="1"/>
        <v>4.03E-10</v>
      </c>
      <c r="G6" t="e">
        <f>0/0</f>
        <v>#DIV/0!</v>
      </c>
      <c r="H6" s="1"/>
      <c r="I6" s="4" t="s">
        <v>64</v>
      </c>
      <c r="J6" s="4" t="s">
        <v>64</v>
      </c>
      <c r="K6" s="5" t="s">
        <v>65</v>
      </c>
      <c r="L6" s="5" t="s">
        <v>65</v>
      </c>
      <c r="M6" s="11"/>
      <c r="N6" s="12"/>
      <c r="O6" s="12"/>
      <c r="AA6" s="1" t="s">
        <v>13</v>
      </c>
      <c r="AB6" s="1" t="s">
        <v>15</v>
      </c>
      <c r="AC6" s="1" t="s">
        <v>16</v>
      </c>
      <c r="AD6" s="1" t="s">
        <v>17</v>
      </c>
      <c r="AE6" s="1" t="s">
        <v>19</v>
      </c>
      <c r="AF6" s="1" t="s">
        <v>18</v>
      </c>
    </row>
    <row r="7" spans="1:32" x14ac:dyDescent="0.25">
      <c r="A7" s="1" t="s">
        <v>0</v>
      </c>
      <c r="B7">
        <v>4</v>
      </c>
      <c r="C7">
        <f t="shared" ref="C7:C8" si="2">0.403/SQRT(2^2+0+0)</f>
        <v>0.20150000000000001</v>
      </c>
      <c r="D7">
        <f t="shared" si="0"/>
        <v>2.015E-10</v>
      </c>
      <c r="E7" s="2">
        <f>ASIN(0/SQRT(B7))*180/PI()</f>
        <v>0</v>
      </c>
      <c r="F7">
        <f t="shared" si="1"/>
        <v>0</v>
      </c>
      <c r="G7" t="e">
        <f>2/0</f>
        <v>#DIV/0!</v>
      </c>
      <c r="H7" s="1"/>
      <c r="I7" s="5" t="s">
        <v>65</v>
      </c>
      <c r="J7" s="5" t="s">
        <v>65</v>
      </c>
      <c r="K7" s="4" t="s">
        <v>64</v>
      </c>
      <c r="L7" s="5" t="s">
        <v>65</v>
      </c>
      <c r="M7" s="11"/>
      <c r="N7" s="12"/>
      <c r="O7" s="12"/>
      <c r="AA7" s="1" t="s">
        <v>14</v>
      </c>
      <c r="AB7" s="1" t="s">
        <v>21</v>
      </c>
      <c r="AC7" s="1" t="s">
        <v>22</v>
      </c>
      <c r="AD7" s="1" t="s">
        <v>23</v>
      </c>
      <c r="AE7" s="1" t="s">
        <v>20</v>
      </c>
      <c r="AF7" s="1" t="s">
        <v>24</v>
      </c>
    </row>
    <row r="8" spans="1:32" x14ac:dyDescent="0.25">
      <c r="A8" s="1" t="s">
        <v>1</v>
      </c>
      <c r="B8">
        <v>4</v>
      </c>
      <c r="C8">
        <f t="shared" si="2"/>
        <v>0.20150000000000001</v>
      </c>
      <c r="D8">
        <f t="shared" si="0"/>
        <v>2.015E-10</v>
      </c>
      <c r="E8" s="2">
        <f>ASIN(0/SQRT(B8))*180/PI()</f>
        <v>0</v>
      </c>
      <c r="F8">
        <f t="shared" si="1"/>
        <v>0</v>
      </c>
      <c r="G8">
        <f>0/2</f>
        <v>0</v>
      </c>
      <c r="H8" s="1"/>
      <c r="I8" s="5" t="s">
        <v>65</v>
      </c>
      <c r="J8" s="5" t="s">
        <v>65</v>
      </c>
      <c r="K8" s="4" t="s">
        <v>64</v>
      </c>
      <c r="L8" s="5" t="s">
        <v>65</v>
      </c>
      <c r="M8" s="11"/>
      <c r="N8" s="12"/>
      <c r="O8" s="12"/>
      <c r="AA8" s="1" t="s">
        <v>5</v>
      </c>
      <c r="AB8" s="1" t="s">
        <v>6</v>
      </c>
      <c r="AC8" s="1" t="s">
        <v>7</v>
      </c>
      <c r="AD8" s="1"/>
      <c r="AE8" s="1"/>
      <c r="AF8" s="1"/>
    </row>
    <row r="9" spans="1:32" x14ac:dyDescent="0.25">
      <c r="A9" s="1" t="s">
        <v>11</v>
      </c>
      <c r="B9">
        <v>8</v>
      </c>
      <c r="C9">
        <f>0.403/SQRT(2^2+2^2+0)</f>
        <v>0.14248201640908933</v>
      </c>
      <c r="D9">
        <f t="shared" si="0"/>
        <v>1.4248201640908932E-10</v>
      </c>
      <c r="E9" s="2">
        <f>ASIN(2/SQRT(B9))*180/PI()</f>
        <v>45</v>
      </c>
      <c r="F9">
        <f t="shared" si="1"/>
        <v>2.0149999999999998E-10</v>
      </c>
      <c r="G9" t="e">
        <f>2/0</f>
        <v>#DIV/0!</v>
      </c>
      <c r="H9" s="1"/>
      <c r="I9" s="4" t="s">
        <v>64</v>
      </c>
      <c r="J9" s="4" t="s">
        <v>64</v>
      </c>
      <c r="K9" s="5" t="s">
        <v>65</v>
      </c>
      <c r="L9" s="5" t="s">
        <v>65</v>
      </c>
      <c r="M9" s="11"/>
      <c r="N9" s="12"/>
      <c r="O9" s="12"/>
      <c r="AA9" s="1" t="s">
        <v>25</v>
      </c>
      <c r="AB9" s="1" t="s">
        <v>26</v>
      </c>
      <c r="AC9" s="1" t="s">
        <v>27</v>
      </c>
      <c r="AD9" s="1"/>
      <c r="AE9" s="1"/>
      <c r="AF9" s="1"/>
    </row>
    <row r="10" spans="1:32" x14ac:dyDescent="0.25">
      <c r="A10" s="1" t="s">
        <v>12</v>
      </c>
      <c r="B10">
        <v>8</v>
      </c>
      <c r="C10">
        <f t="shared" ref="C10:C11" si="3">0.403/SQRT(2^2+2^2+0)</f>
        <v>0.14248201640908933</v>
      </c>
      <c r="D10">
        <f t="shared" si="0"/>
        <v>1.4248201640908932E-10</v>
      </c>
      <c r="E10" s="2">
        <f>ASIN(2/SQRT(B10))*180/PI()</f>
        <v>45</v>
      </c>
      <c r="F10">
        <f t="shared" si="1"/>
        <v>2.0149999999999998E-10</v>
      </c>
      <c r="G10">
        <f>0/2</f>
        <v>0</v>
      </c>
      <c r="H10" s="1"/>
      <c r="I10" s="4" t="s">
        <v>64</v>
      </c>
      <c r="J10" s="4" t="s">
        <v>64</v>
      </c>
      <c r="K10" s="5" t="s">
        <v>65</v>
      </c>
      <c r="L10" s="5" t="s">
        <v>65</v>
      </c>
      <c r="M10" s="11"/>
      <c r="N10" s="12"/>
      <c r="O10" s="12"/>
      <c r="AA10" s="1" t="s">
        <v>8</v>
      </c>
      <c r="AB10" s="1" t="s">
        <v>9</v>
      </c>
      <c r="AC10" s="1" t="s">
        <v>10</v>
      </c>
      <c r="AD10" s="1"/>
      <c r="AE10" s="1"/>
      <c r="AF10" s="1"/>
    </row>
    <row r="11" spans="1:32" x14ac:dyDescent="0.25">
      <c r="A11" s="1" t="s">
        <v>2</v>
      </c>
      <c r="B11">
        <v>8</v>
      </c>
      <c r="C11">
        <f t="shared" si="3"/>
        <v>0.14248201640908933</v>
      </c>
      <c r="D11">
        <f t="shared" si="0"/>
        <v>1.4248201640908932E-10</v>
      </c>
      <c r="E11" s="2">
        <f>ASIN(0/SQRT(B11))*180/PI()</f>
        <v>0</v>
      </c>
      <c r="F11">
        <f t="shared" si="1"/>
        <v>0</v>
      </c>
      <c r="G11">
        <f>2/2</f>
        <v>1</v>
      </c>
      <c r="H11" s="1"/>
      <c r="I11" s="5" t="s">
        <v>65</v>
      </c>
      <c r="J11" s="5" t="s">
        <v>65</v>
      </c>
      <c r="K11" s="4" t="s">
        <v>64</v>
      </c>
      <c r="L11" s="5" t="s">
        <v>65</v>
      </c>
      <c r="M11" s="11"/>
      <c r="N11" s="12"/>
      <c r="O11" s="12"/>
      <c r="AA11" s="1" t="s">
        <v>28</v>
      </c>
      <c r="AB11" s="1" t="s">
        <v>32</v>
      </c>
      <c r="AC11" s="1" t="s">
        <v>36</v>
      </c>
      <c r="AD11" s="1"/>
      <c r="AE11" s="1"/>
      <c r="AF11" s="1"/>
    </row>
    <row r="12" spans="1:32" x14ac:dyDescent="0.25">
      <c r="A12" s="1" t="s">
        <v>13</v>
      </c>
      <c r="B12">
        <v>20</v>
      </c>
      <c r="C12">
        <f>0.403/SQRT(2^2+4^2+0^2)</f>
        <v>9.0113539493241523E-2</v>
      </c>
      <c r="D12">
        <f t="shared" si="0"/>
        <v>9.0113539493241525E-11</v>
      </c>
      <c r="E12" s="2">
        <f>ASIN(2/SQRT(B12))*180/PI()</f>
        <v>26.56505117707799</v>
      </c>
      <c r="F12">
        <f t="shared" si="1"/>
        <v>8.0599999999999998E-11</v>
      </c>
      <c r="G12" t="e">
        <f>4/0</f>
        <v>#DIV/0!</v>
      </c>
      <c r="H12" s="1"/>
      <c r="I12" s="4" t="s">
        <v>64</v>
      </c>
      <c r="J12" s="4" t="s">
        <v>64</v>
      </c>
      <c r="K12" s="4" t="s">
        <v>64</v>
      </c>
      <c r="L12" s="4" t="s">
        <v>64</v>
      </c>
      <c r="M12" s="13" t="str">
        <f>A12</f>
        <v>240</v>
      </c>
      <c r="N12" s="8">
        <f>E12</f>
        <v>26.56505117707799</v>
      </c>
      <c r="O12" s="4" t="e">
        <f>G12</f>
        <v>#DIV/0!</v>
      </c>
      <c r="AA12" s="1" t="s">
        <v>29</v>
      </c>
      <c r="AB12" s="1" t="s">
        <v>33</v>
      </c>
      <c r="AC12" s="1" t="s">
        <v>37</v>
      </c>
      <c r="AD12" s="1"/>
      <c r="AE12" s="1"/>
      <c r="AF12" s="1"/>
    </row>
    <row r="13" spans="1:32" x14ac:dyDescent="0.25">
      <c r="A13" s="1" t="s">
        <v>15</v>
      </c>
      <c r="B13">
        <v>20</v>
      </c>
      <c r="C13">
        <f t="shared" ref="C13:C17" si="4">0.403/SQRT(2^2+4^2+0^2)</f>
        <v>9.0113539493241523E-2</v>
      </c>
      <c r="D13">
        <f t="shared" si="0"/>
        <v>9.0113539493241525E-11</v>
      </c>
      <c r="E13" s="2">
        <f>ASIN(2/SQRT(B13))*180/PI()</f>
        <v>26.56505117707799</v>
      </c>
      <c r="F13">
        <f t="shared" si="1"/>
        <v>8.0599999999999998E-11</v>
      </c>
      <c r="G13">
        <f>0/4</f>
        <v>0</v>
      </c>
      <c r="H13" s="1"/>
      <c r="I13" s="4" t="s">
        <v>64</v>
      </c>
      <c r="J13" s="4" t="s">
        <v>64</v>
      </c>
      <c r="K13" s="4" t="s">
        <v>64</v>
      </c>
      <c r="L13" s="4" t="s">
        <v>64</v>
      </c>
      <c r="M13" s="13" t="str">
        <f>A13</f>
        <v>204</v>
      </c>
      <c r="N13" s="8">
        <f>E13</f>
        <v>26.56505117707799</v>
      </c>
      <c r="O13" s="4">
        <f>G13</f>
        <v>0</v>
      </c>
      <c r="AA13" s="1" t="s">
        <v>30</v>
      </c>
      <c r="AB13" s="1" t="s">
        <v>38</v>
      </c>
      <c r="AC13" s="1" t="s">
        <v>34</v>
      </c>
      <c r="AD13" s="1"/>
      <c r="AE13" s="1"/>
      <c r="AF13" s="1"/>
    </row>
    <row r="14" spans="1:32" x14ac:dyDescent="0.25">
      <c r="A14" s="1" t="s">
        <v>16</v>
      </c>
      <c r="B14">
        <v>20</v>
      </c>
      <c r="C14">
        <f t="shared" si="4"/>
        <v>9.0113539493241523E-2</v>
      </c>
      <c r="D14">
        <f t="shared" si="0"/>
        <v>9.0113539493241525E-11</v>
      </c>
      <c r="E14" s="2">
        <f>ASIN(0/SQRT(B14))*180/PI()</f>
        <v>0</v>
      </c>
      <c r="F14">
        <f t="shared" si="1"/>
        <v>0</v>
      </c>
      <c r="G14">
        <f>2/4</f>
        <v>0.5</v>
      </c>
      <c r="H14" s="1"/>
      <c r="I14" s="5" t="s">
        <v>65</v>
      </c>
      <c r="J14" s="5" t="s">
        <v>65</v>
      </c>
      <c r="K14" s="4" t="s">
        <v>64</v>
      </c>
      <c r="L14" s="5" t="s">
        <v>65</v>
      </c>
      <c r="M14" s="11"/>
      <c r="N14" s="12"/>
      <c r="O14" s="12"/>
      <c r="AA14" s="1" t="s">
        <v>31</v>
      </c>
      <c r="AB14" s="1" t="s">
        <v>39</v>
      </c>
      <c r="AC14" s="1" t="s">
        <v>35</v>
      </c>
      <c r="AD14" s="1" t="s">
        <v>40</v>
      </c>
      <c r="AE14" s="1" t="s">
        <v>41</v>
      </c>
      <c r="AF14" s="1" t="s">
        <v>42</v>
      </c>
    </row>
    <row r="15" spans="1:32" x14ac:dyDescent="0.25">
      <c r="A15" s="1" t="s">
        <v>17</v>
      </c>
      <c r="B15">
        <v>20</v>
      </c>
      <c r="C15">
        <f t="shared" si="4"/>
        <v>9.0113539493241523E-2</v>
      </c>
      <c r="D15">
        <f t="shared" si="0"/>
        <v>9.0113539493241525E-11</v>
      </c>
      <c r="E15" s="2">
        <f>ASIN(0/SQRT(B15))*180/PI()</f>
        <v>0</v>
      </c>
      <c r="F15">
        <f t="shared" si="1"/>
        <v>0</v>
      </c>
      <c r="G15">
        <f>4/2</f>
        <v>2</v>
      </c>
      <c r="H15" s="1"/>
      <c r="I15" s="5" t="s">
        <v>65</v>
      </c>
      <c r="J15" s="5" t="s">
        <v>65</v>
      </c>
      <c r="K15" s="4" t="s">
        <v>64</v>
      </c>
      <c r="L15" s="5" t="s">
        <v>65</v>
      </c>
      <c r="M15" s="11"/>
      <c r="N15" s="12"/>
      <c r="O15" s="12"/>
      <c r="AA15" s="1" t="s">
        <v>43</v>
      </c>
      <c r="AB15" s="1" t="s">
        <v>44</v>
      </c>
      <c r="AC15" s="1" t="s">
        <v>45</v>
      </c>
      <c r="AD15" s="1"/>
      <c r="AE15" s="1"/>
      <c r="AF15" s="1"/>
    </row>
    <row r="16" spans="1:32" x14ac:dyDescent="0.25">
      <c r="A16" s="1" t="s">
        <v>19</v>
      </c>
      <c r="B16">
        <v>20</v>
      </c>
      <c r="C16">
        <f t="shared" si="4"/>
        <v>9.0113539493241523E-2</v>
      </c>
      <c r="D16">
        <f t="shared" si="0"/>
        <v>9.0113539493241525E-11</v>
      </c>
      <c r="E16" s="2">
        <f>ASIN(4/SQRT(B16))*180/PI()</f>
        <v>63.43494882292201</v>
      </c>
      <c r="F16">
        <f t="shared" si="1"/>
        <v>1.612E-10</v>
      </c>
      <c r="G16">
        <f>0/2</f>
        <v>0</v>
      </c>
      <c r="H16" s="1"/>
      <c r="I16" s="4" t="s">
        <v>64</v>
      </c>
      <c r="J16" s="4" t="s">
        <v>64</v>
      </c>
      <c r="K16" s="5" t="s">
        <v>65</v>
      </c>
      <c r="L16" s="5" t="s">
        <v>65</v>
      </c>
      <c r="M16" s="11"/>
      <c r="N16" s="12"/>
      <c r="O16" s="12"/>
      <c r="AA16" s="1" t="s">
        <v>10</v>
      </c>
      <c r="AB16" s="1" t="s">
        <v>9</v>
      </c>
      <c r="AC16" s="1" t="s">
        <v>8</v>
      </c>
      <c r="AD16" s="1"/>
      <c r="AE16" s="1"/>
      <c r="AF16" s="1"/>
    </row>
    <row r="17" spans="1:15" x14ac:dyDescent="0.25">
      <c r="A17" s="1" t="s">
        <v>18</v>
      </c>
      <c r="B17">
        <v>20</v>
      </c>
      <c r="C17">
        <f t="shared" si="4"/>
        <v>9.0113539493241523E-2</v>
      </c>
      <c r="D17">
        <f t="shared" si="0"/>
        <v>9.0113539493241525E-11</v>
      </c>
      <c r="E17" s="2">
        <f>ASIN(4/SQRT(B17))*180/PI()</f>
        <v>63.43494882292201</v>
      </c>
      <c r="F17">
        <f t="shared" si="1"/>
        <v>1.612E-10</v>
      </c>
      <c r="G17" t="e">
        <f>2/0</f>
        <v>#DIV/0!</v>
      </c>
      <c r="H17" s="1"/>
      <c r="I17" s="4" t="s">
        <v>64</v>
      </c>
      <c r="J17" s="4" t="s">
        <v>64</v>
      </c>
      <c r="K17" s="5" t="s">
        <v>65</v>
      </c>
      <c r="L17" s="5" t="s">
        <v>65</v>
      </c>
      <c r="M17" s="11"/>
      <c r="N17" s="12"/>
      <c r="O17" s="12"/>
    </row>
    <row r="18" spans="1:15" x14ac:dyDescent="0.25">
      <c r="A18" s="1" t="s">
        <v>14</v>
      </c>
      <c r="B18">
        <v>40</v>
      </c>
      <c r="C18">
        <f>0.403/SQRT(2^2+6^2+0^2)</f>
        <v>6.371989485239285E-2</v>
      </c>
      <c r="D18">
        <f t="shared" si="0"/>
        <v>6.3719894852392836E-11</v>
      </c>
      <c r="E18" s="2">
        <f>ASIN(2/SQRT(B18))*180/PI()</f>
        <v>18.434948822922014</v>
      </c>
      <c r="F18">
        <f t="shared" si="1"/>
        <v>4.0300000000000006E-11</v>
      </c>
      <c r="G18" t="e">
        <f>6/0</f>
        <v>#DIV/0!</v>
      </c>
      <c r="H18" s="1"/>
      <c r="I18" s="4" t="s">
        <v>64</v>
      </c>
      <c r="J18" s="4" t="s">
        <v>64</v>
      </c>
      <c r="K18" s="4" t="s">
        <v>64</v>
      </c>
      <c r="L18" s="4" t="s">
        <v>64</v>
      </c>
      <c r="M18" s="13" t="str">
        <f>A18</f>
        <v>260</v>
      </c>
      <c r="N18" s="8">
        <f>E18</f>
        <v>18.434948822922014</v>
      </c>
      <c r="O18" s="4" t="e">
        <f>G18</f>
        <v>#DIV/0!</v>
      </c>
    </row>
    <row r="19" spans="1:15" x14ac:dyDescent="0.25">
      <c r="A19" s="1" t="s">
        <v>21</v>
      </c>
      <c r="B19">
        <v>40</v>
      </c>
      <c r="C19">
        <f t="shared" ref="C19:C23" si="5">0.403/SQRT(2^2+6^2+0^2)</f>
        <v>6.371989485239285E-2</v>
      </c>
      <c r="D19">
        <f t="shared" si="0"/>
        <v>6.3719894852392836E-11</v>
      </c>
      <c r="E19" s="2">
        <f>ASIN(2/SQRT(B19))*180/PI()</f>
        <v>18.434948822922014</v>
      </c>
      <c r="F19">
        <f t="shared" si="1"/>
        <v>4.0300000000000006E-11</v>
      </c>
      <c r="G19">
        <f>0/6</f>
        <v>0</v>
      </c>
      <c r="H19" s="1"/>
      <c r="I19" s="4" t="s">
        <v>64</v>
      </c>
      <c r="J19" s="4" t="s">
        <v>64</v>
      </c>
      <c r="K19" s="4" t="s">
        <v>64</v>
      </c>
      <c r="L19" s="4" t="s">
        <v>64</v>
      </c>
      <c r="M19" s="13" t="str">
        <f>A19</f>
        <v>206</v>
      </c>
      <c r="N19" s="8">
        <f>E19</f>
        <v>18.434948822922014</v>
      </c>
      <c r="O19" s="4">
        <f>G19</f>
        <v>0</v>
      </c>
    </row>
    <row r="20" spans="1:15" x14ac:dyDescent="0.25">
      <c r="A20" s="1" t="s">
        <v>22</v>
      </c>
      <c r="B20">
        <v>40</v>
      </c>
      <c r="C20">
        <f t="shared" si="5"/>
        <v>6.371989485239285E-2</v>
      </c>
      <c r="D20">
        <f t="shared" si="0"/>
        <v>6.3719894852392836E-11</v>
      </c>
      <c r="E20" s="2">
        <f>ASIN(0/SQRT(B20))*180/PI()</f>
        <v>0</v>
      </c>
      <c r="F20">
        <f t="shared" si="1"/>
        <v>0</v>
      </c>
      <c r="G20">
        <f>2/6</f>
        <v>0.33333333333333331</v>
      </c>
      <c r="H20" s="1"/>
      <c r="I20" s="5" t="s">
        <v>65</v>
      </c>
      <c r="J20" s="5" t="s">
        <v>65</v>
      </c>
      <c r="K20" s="4" t="s">
        <v>64</v>
      </c>
      <c r="L20" s="5" t="s">
        <v>65</v>
      </c>
      <c r="M20" s="11"/>
      <c r="N20" s="12"/>
      <c r="O20" s="12"/>
    </row>
    <row r="21" spans="1:15" x14ac:dyDescent="0.25">
      <c r="A21" s="1" t="s">
        <v>23</v>
      </c>
      <c r="B21">
        <v>40</v>
      </c>
      <c r="C21">
        <f t="shared" si="5"/>
        <v>6.371989485239285E-2</v>
      </c>
      <c r="D21">
        <f t="shared" si="0"/>
        <v>6.3719894852392836E-11</v>
      </c>
      <c r="E21" s="2">
        <f>ASIN(0/SQRT(B21))*180/PI()</f>
        <v>0</v>
      </c>
      <c r="F21">
        <f t="shared" si="1"/>
        <v>0</v>
      </c>
      <c r="G21">
        <f>6/2</f>
        <v>3</v>
      </c>
      <c r="H21" s="1"/>
      <c r="I21" s="5" t="s">
        <v>65</v>
      </c>
      <c r="J21" s="5" t="s">
        <v>65</v>
      </c>
      <c r="K21" s="4" t="s">
        <v>64</v>
      </c>
      <c r="L21" s="5" t="s">
        <v>65</v>
      </c>
      <c r="M21" s="11"/>
      <c r="N21" s="12"/>
      <c r="O21" s="12"/>
    </row>
    <row r="22" spans="1:15" x14ac:dyDescent="0.25">
      <c r="A22" s="1" t="s">
        <v>20</v>
      </c>
      <c r="B22">
        <v>40</v>
      </c>
      <c r="C22">
        <f t="shared" si="5"/>
        <v>6.371989485239285E-2</v>
      </c>
      <c r="D22">
        <f t="shared" si="0"/>
        <v>6.3719894852392836E-11</v>
      </c>
      <c r="E22" s="2">
        <f>ASIN(6/SQRT(B22))*180/PI()</f>
        <v>71.56505117707799</v>
      </c>
      <c r="F22">
        <f t="shared" si="1"/>
        <v>1.2089999999999999E-10</v>
      </c>
      <c r="G22">
        <f>0/2</f>
        <v>0</v>
      </c>
      <c r="H22" s="1"/>
      <c r="I22" s="4" t="s">
        <v>64</v>
      </c>
      <c r="J22" s="4" t="s">
        <v>64</v>
      </c>
      <c r="K22" s="5" t="s">
        <v>65</v>
      </c>
      <c r="L22" s="5" t="s">
        <v>65</v>
      </c>
      <c r="M22" s="11"/>
      <c r="N22" s="12"/>
      <c r="O22" s="12"/>
    </row>
    <row r="23" spans="1:15" x14ac:dyDescent="0.25">
      <c r="A23" s="1" t="s">
        <v>24</v>
      </c>
      <c r="B23">
        <v>40</v>
      </c>
      <c r="C23">
        <f t="shared" si="5"/>
        <v>6.371989485239285E-2</v>
      </c>
      <c r="D23">
        <f t="shared" si="0"/>
        <v>6.3719894852392836E-11</v>
      </c>
      <c r="E23" s="2">
        <f>ASIN(6/SQRT(B23))*180/PI()</f>
        <v>71.56505117707799</v>
      </c>
      <c r="F23">
        <f t="shared" si="1"/>
        <v>1.2089999999999999E-10</v>
      </c>
      <c r="G23" t="e">
        <f>2/0</f>
        <v>#DIV/0!</v>
      </c>
      <c r="H23" s="1"/>
      <c r="I23" s="4" t="s">
        <v>64</v>
      </c>
      <c r="J23" s="4" t="s">
        <v>64</v>
      </c>
      <c r="K23" s="5" t="s">
        <v>65</v>
      </c>
      <c r="L23" s="5" t="s">
        <v>65</v>
      </c>
      <c r="M23" s="11"/>
      <c r="N23" s="12"/>
      <c r="O23" s="12"/>
    </row>
    <row r="24" spans="1:15" x14ac:dyDescent="0.25">
      <c r="A24" s="1" t="s">
        <v>5</v>
      </c>
      <c r="B24">
        <v>24</v>
      </c>
      <c r="C24">
        <f>0.403/SQRT(2^2+2^2+4^2)</f>
        <v>8.2262030528468408E-2</v>
      </c>
      <c r="D24">
        <f t="shared" si="0"/>
        <v>8.2262030528468404E-11</v>
      </c>
      <c r="E24" s="2">
        <f>ASIN(2/SQRT(B24))*180/PI()</f>
        <v>24.094842552110705</v>
      </c>
      <c r="F24">
        <f t="shared" si="1"/>
        <v>6.7166666666666693E-11</v>
      </c>
      <c r="G24">
        <f>2/4</f>
        <v>0.5</v>
      </c>
      <c r="H24" s="1"/>
      <c r="I24" s="4" t="s">
        <v>64</v>
      </c>
      <c r="J24" s="4" t="s">
        <v>64</v>
      </c>
      <c r="K24" s="4" t="s">
        <v>64</v>
      </c>
      <c r="L24" s="4" t="s">
        <v>64</v>
      </c>
      <c r="M24" s="13" t="str">
        <f>A24</f>
        <v>224</v>
      </c>
      <c r="N24" s="8">
        <f>E24</f>
        <v>24.094842552110705</v>
      </c>
      <c r="O24" s="4">
        <f>G24</f>
        <v>0.5</v>
      </c>
    </row>
    <row r="25" spans="1:15" x14ac:dyDescent="0.25">
      <c r="A25" s="1" t="s">
        <v>6</v>
      </c>
      <c r="B25">
        <v>24</v>
      </c>
      <c r="C25">
        <f t="shared" ref="C25:C26" si="6">0.403/SQRT(2^2+2^2+4^2)</f>
        <v>8.2262030528468408E-2</v>
      </c>
      <c r="D25">
        <f t="shared" si="0"/>
        <v>8.2262030528468404E-11</v>
      </c>
      <c r="E25" s="2">
        <f>ASIN(2/SQRT(B25))*180/PI()</f>
        <v>24.094842552110705</v>
      </c>
      <c r="F25">
        <f t="shared" si="1"/>
        <v>6.7166666666666693E-11</v>
      </c>
      <c r="G25">
        <f>4/2</f>
        <v>2</v>
      </c>
      <c r="H25" s="1"/>
      <c r="I25" s="4" t="s">
        <v>64</v>
      </c>
      <c r="J25" s="4" t="s">
        <v>64</v>
      </c>
      <c r="K25" s="4" t="s">
        <v>64</v>
      </c>
      <c r="L25" s="4" t="s">
        <v>64</v>
      </c>
      <c r="M25" s="13" t="str">
        <f>A25</f>
        <v>242</v>
      </c>
      <c r="N25" s="8">
        <f>E25</f>
        <v>24.094842552110705</v>
      </c>
      <c r="O25" s="4">
        <f>G25</f>
        <v>2</v>
      </c>
    </row>
    <row r="26" spans="1:15" x14ac:dyDescent="0.25">
      <c r="A26" s="1" t="s">
        <v>7</v>
      </c>
      <c r="B26">
        <v>24</v>
      </c>
      <c r="C26">
        <f t="shared" si="6"/>
        <v>8.2262030528468408E-2</v>
      </c>
      <c r="D26">
        <f t="shared" si="0"/>
        <v>8.2262030528468404E-11</v>
      </c>
      <c r="E26" s="2">
        <f>ASIN(4/SQRT(B26))*180/PI()</f>
        <v>54.735610317245353</v>
      </c>
      <c r="F26">
        <f t="shared" si="1"/>
        <v>1.3433333333333336E-10</v>
      </c>
      <c r="G26">
        <f>2/2</f>
        <v>1</v>
      </c>
      <c r="H26" s="1"/>
      <c r="I26" s="4" t="s">
        <v>64</v>
      </c>
      <c r="J26" s="4" t="s">
        <v>64</v>
      </c>
      <c r="K26" s="5" t="s">
        <v>65</v>
      </c>
      <c r="L26" s="5" t="s">
        <v>65</v>
      </c>
      <c r="M26" s="11"/>
      <c r="N26" s="12"/>
      <c r="O26" s="12"/>
    </row>
    <row r="27" spans="1:15" x14ac:dyDescent="0.25">
      <c r="A27" s="1" t="s">
        <v>25</v>
      </c>
      <c r="B27">
        <v>44</v>
      </c>
      <c r="C27">
        <f>0.403/SQRT(2^2+2^2+6^2)</f>
        <v>6.0754535932419376E-2</v>
      </c>
      <c r="D27">
        <f t="shared" si="0"/>
        <v>6.0754535932419375E-11</v>
      </c>
      <c r="E27" s="2">
        <f>ASIN(2/SQRT(B27))*180/PI()</f>
        <v>17.5484006137923</v>
      </c>
      <c r="F27">
        <f t="shared" si="1"/>
        <v>3.6636363636363639E-11</v>
      </c>
      <c r="G27">
        <f>2/6</f>
        <v>0.33333333333333331</v>
      </c>
      <c r="H27" s="1"/>
      <c r="I27" s="4" t="s">
        <v>64</v>
      </c>
      <c r="J27" s="4" t="s">
        <v>64</v>
      </c>
      <c r="K27" s="4" t="s">
        <v>64</v>
      </c>
      <c r="L27" s="4" t="s">
        <v>64</v>
      </c>
      <c r="M27" s="13" t="str">
        <f>A27</f>
        <v>226</v>
      </c>
      <c r="N27" s="8">
        <f>E27</f>
        <v>17.5484006137923</v>
      </c>
      <c r="O27" s="4">
        <f>G27</f>
        <v>0.33333333333333331</v>
      </c>
    </row>
    <row r="28" spans="1:15" x14ac:dyDescent="0.25">
      <c r="A28" s="1" t="s">
        <v>26</v>
      </c>
      <c r="B28">
        <v>44</v>
      </c>
      <c r="C28">
        <f t="shared" ref="C28:C29" si="7">0.403/SQRT(2^2+2^2+6^2)</f>
        <v>6.0754535932419376E-2</v>
      </c>
      <c r="D28">
        <f t="shared" si="0"/>
        <v>6.0754535932419375E-11</v>
      </c>
      <c r="E28" s="2">
        <f>ASIN(2/SQRT(B28))*180/PI()</f>
        <v>17.5484006137923</v>
      </c>
      <c r="F28">
        <f t="shared" si="1"/>
        <v>3.6636363636363639E-11</v>
      </c>
      <c r="G28">
        <f>6/2</f>
        <v>3</v>
      </c>
      <c r="H28" s="1"/>
      <c r="I28" s="4" t="s">
        <v>64</v>
      </c>
      <c r="J28" s="4" t="s">
        <v>64</v>
      </c>
      <c r="K28" s="4" t="s">
        <v>64</v>
      </c>
      <c r="L28" s="4" t="s">
        <v>64</v>
      </c>
      <c r="M28" s="13" t="str">
        <f>A28</f>
        <v>262</v>
      </c>
      <c r="N28" s="8">
        <f>E28</f>
        <v>17.5484006137923</v>
      </c>
      <c r="O28" s="4">
        <f>G28</f>
        <v>3</v>
      </c>
    </row>
    <row r="29" spans="1:15" x14ac:dyDescent="0.25">
      <c r="A29" s="1" t="s">
        <v>27</v>
      </c>
      <c r="B29">
        <v>44</v>
      </c>
      <c r="C29">
        <f t="shared" si="7"/>
        <v>6.0754535932419376E-2</v>
      </c>
      <c r="D29">
        <f t="shared" si="0"/>
        <v>6.0754535932419375E-11</v>
      </c>
      <c r="E29" s="2">
        <f>ASIN(6/SQRT(B29))*180/PI()</f>
        <v>64.760598179321079</v>
      </c>
      <c r="F29">
        <f t="shared" si="1"/>
        <v>1.0990909090909091E-10</v>
      </c>
      <c r="G29">
        <f>2/2</f>
        <v>1</v>
      </c>
      <c r="H29" s="1"/>
      <c r="I29" s="4" t="s">
        <v>64</v>
      </c>
      <c r="J29" s="4" t="s">
        <v>64</v>
      </c>
      <c r="K29" s="5" t="s">
        <v>65</v>
      </c>
      <c r="L29" s="5" t="s">
        <v>65</v>
      </c>
      <c r="M29" s="11"/>
      <c r="N29" s="12"/>
      <c r="O29" s="12"/>
    </row>
    <row r="30" spans="1:15" x14ac:dyDescent="0.25">
      <c r="A30" s="1" t="s">
        <v>8</v>
      </c>
      <c r="B30">
        <v>36</v>
      </c>
      <c r="C30">
        <f>0.403/SQRT(2^2+4^2+4^2)</f>
        <v>6.7166666666666666E-2</v>
      </c>
      <c r="D30">
        <f t="shared" si="0"/>
        <v>6.7166666666666667E-11</v>
      </c>
      <c r="E30" s="2">
        <f>ASIN(2/SQRT(B30))*180/PI()</f>
        <v>19.471220634490692</v>
      </c>
      <c r="F30">
        <f t="shared" si="1"/>
        <v>4.4777777777777776E-11</v>
      </c>
      <c r="G30">
        <f>4/4</f>
        <v>1</v>
      </c>
      <c r="H30" s="1"/>
      <c r="I30" s="4" t="s">
        <v>64</v>
      </c>
      <c r="J30" s="4" t="s">
        <v>64</v>
      </c>
      <c r="K30" s="4" t="s">
        <v>64</v>
      </c>
      <c r="L30" s="4" t="s">
        <v>64</v>
      </c>
      <c r="M30" s="13" t="str">
        <f>A30</f>
        <v>244</v>
      </c>
      <c r="N30" s="8">
        <f>E30</f>
        <v>19.471220634490692</v>
      </c>
      <c r="O30" s="4">
        <f>G30</f>
        <v>1</v>
      </c>
    </row>
    <row r="31" spans="1:15" x14ac:dyDescent="0.25">
      <c r="A31" s="1" t="s">
        <v>9</v>
      </c>
      <c r="B31">
        <v>36</v>
      </c>
      <c r="C31">
        <f t="shared" ref="C31:C32" si="8">0.403/SQRT(2^2+4^2+4^2)</f>
        <v>6.7166666666666666E-2</v>
      </c>
      <c r="D31">
        <f t="shared" si="0"/>
        <v>6.7166666666666667E-11</v>
      </c>
      <c r="E31" s="2">
        <f>ASIN(4/SQRT(B31))*180/PI()</f>
        <v>41.810314895778596</v>
      </c>
      <c r="F31">
        <f t="shared" si="1"/>
        <v>8.9555555555555552E-11</v>
      </c>
      <c r="G31">
        <f>2/4</f>
        <v>0.5</v>
      </c>
      <c r="H31" s="1"/>
      <c r="I31" s="4" t="s">
        <v>64</v>
      </c>
      <c r="J31" s="4" t="s">
        <v>64</v>
      </c>
      <c r="K31" s="5" t="s">
        <v>65</v>
      </c>
      <c r="L31" s="5" t="s">
        <v>65</v>
      </c>
      <c r="M31" s="11"/>
      <c r="N31" s="12"/>
      <c r="O31" s="12"/>
    </row>
    <row r="32" spans="1:15" x14ac:dyDescent="0.25">
      <c r="A32" s="1" t="s">
        <v>10</v>
      </c>
      <c r="B32">
        <v>36</v>
      </c>
      <c r="C32">
        <f t="shared" si="8"/>
        <v>6.7166666666666666E-2</v>
      </c>
      <c r="D32">
        <f t="shared" si="0"/>
        <v>6.7166666666666667E-11</v>
      </c>
      <c r="E32" s="2">
        <f>ASIN(4/SQRT(B32))*180/PI()</f>
        <v>41.810314895778596</v>
      </c>
      <c r="F32">
        <f t="shared" si="1"/>
        <v>8.9555555555555552E-11</v>
      </c>
      <c r="G32">
        <f>4/2</f>
        <v>2</v>
      </c>
      <c r="H32" s="1"/>
      <c r="I32" s="4" t="s">
        <v>64</v>
      </c>
      <c r="J32" s="4" t="s">
        <v>64</v>
      </c>
      <c r="K32" s="5" t="s">
        <v>65</v>
      </c>
      <c r="L32" s="5" t="s">
        <v>65</v>
      </c>
      <c r="M32" s="11"/>
      <c r="N32" s="12"/>
      <c r="O32" s="12"/>
    </row>
    <row r="33" spans="1:15" x14ac:dyDescent="0.25">
      <c r="A33" s="1" t="s">
        <v>28</v>
      </c>
      <c r="B33">
        <v>11</v>
      </c>
      <c r="C33">
        <f>0.403/SQRT(1^2+1^2+3^2)</f>
        <v>0.12150907186483875</v>
      </c>
      <c r="D33">
        <f t="shared" si="0"/>
        <v>1.2150907186483875E-10</v>
      </c>
      <c r="E33" s="2">
        <f>ASIN(1/SQRT(B33))*180/PI()</f>
        <v>17.5484006137923</v>
      </c>
      <c r="F33">
        <f t="shared" si="1"/>
        <v>7.3272727272727277E-11</v>
      </c>
      <c r="G33">
        <f>1/3</f>
        <v>0.33333333333333331</v>
      </c>
      <c r="H33" s="1"/>
      <c r="I33" s="4" t="s">
        <v>64</v>
      </c>
      <c r="J33" s="4" t="s">
        <v>64</v>
      </c>
      <c r="K33" s="4" t="s">
        <v>64</v>
      </c>
      <c r="L33" s="4" t="s">
        <v>64</v>
      </c>
      <c r="M33" s="13" t="str">
        <f>A33</f>
        <v>113</v>
      </c>
      <c r="N33" s="8">
        <f>E33</f>
        <v>17.5484006137923</v>
      </c>
      <c r="O33" s="4">
        <f>G33</f>
        <v>0.33333333333333331</v>
      </c>
    </row>
    <row r="34" spans="1:15" x14ac:dyDescent="0.25">
      <c r="A34" s="1" t="s">
        <v>32</v>
      </c>
      <c r="B34">
        <v>11</v>
      </c>
      <c r="C34">
        <f t="shared" ref="C34:C35" si="9">0.403/SQRT(1^2+1^2+3^2)</f>
        <v>0.12150907186483875</v>
      </c>
      <c r="D34">
        <f t="shared" si="0"/>
        <v>1.2150907186483875E-10</v>
      </c>
      <c r="E34" s="2">
        <f>ASIN(1/SQRT(B34))*180/PI()</f>
        <v>17.5484006137923</v>
      </c>
      <c r="F34">
        <f t="shared" si="1"/>
        <v>7.3272727272727277E-11</v>
      </c>
      <c r="G34">
        <f>3/1</f>
        <v>3</v>
      </c>
      <c r="H34" s="1"/>
      <c r="I34" s="4" t="s">
        <v>64</v>
      </c>
      <c r="J34" s="4" t="s">
        <v>64</v>
      </c>
      <c r="K34" s="4" t="s">
        <v>64</v>
      </c>
      <c r="L34" s="4" t="s">
        <v>64</v>
      </c>
      <c r="M34" s="13" t="str">
        <f>A34</f>
        <v>131</v>
      </c>
      <c r="N34" s="8">
        <f>E34</f>
        <v>17.5484006137923</v>
      </c>
      <c r="O34" s="4">
        <f>G34</f>
        <v>3</v>
      </c>
    </row>
    <row r="35" spans="1:15" x14ac:dyDescent="0.25">
      <c r="A35" s="1" t="s">
        <v>36</v>
      </c>
      <c r="B35">
        <v>11</v>
      </c>
      <c r="C35">
        <f t="shared" si="9"/>
        <v>0.12150907186483875</v>
      </c>
      <c r="D35">
        <f t="shared" si="0"/>
        <v>1.2150907186483875E-10</v>
      </c>
      <c r="E35" s="2">
        <f>ASIN(3/SQRT(B35))*180/PI()</f>
        <v>64.760598179321079</v>
      </c>
      <c r="F35">
        <f t="shared" si="1"/>
        <v>2.1981818181818182E-10</v>
      </c>
      <c r="G35">
        <f>1/1</f>
        <v>1</v>
      </c>
      <c r="H35" s="1"/>
      <c r="I35" s="4" t="s">
        <v>64</v>
      </c>
      <c r="J35" s="4" t="s">
        <v>64</v>
      </c>
      <c r="K35" s="5" t="s">
        <v>65</v>
      </c>
      <c r="L35" s="5" t="s">
        <v>65</v>
      </c>
      <c r="M35" s="11"/>
      <c r="N35" s="12"/>
      <c r="O35" s="12"/>
    </row>
    <row r="36" spans="1:15" x14ac:dyDescent="0.25">
      <c r="A36" s="1" t="s">
        <v>29</v>
      </c>
      <c r="B36">
        <v>27</v>
      </c>
      <c r="C36">
        <f>0.403/SQRT(1^2+1^2+5^2)</f>
        <v>7.7557386161139732E-2</v>
      </c>
      <c r="D36">
        <f t="shared" si="0"/>
        <v>7.7557386161139725E-11</v>
      </c>
      <c r="E36" s="2">
        <f t="shared" ref="E36:E47" si="10">ASIN(1/SQRT(B36))*180/PI()</f>
        <v>11.095803283136393</v>
      </c>
      <c r="F36">
        <f t="shared" si="1"/>
        <v>2.9851851851851851E-11</v>
      </c>
      <c r="G36">
        <f>1/5</f>
        <v>0.2</v>
      </c>
      <c r="H36" s="1"/>
      <c r="I36" s="5" t="s">
        <v>65</v>
      </c>
      <c r="J36" s="4" t="s">
        <v>64</v>
      </c>
      <c r="K36" s="4" t="s">
        <v>64</v>
      </c>
      <c r="L36" s="5" t="s">
        <v>65</v>
      </c>
      <c r="M36" s="11"/>
      <c r="N36" s="12"/>
      <c r="O36" s="12"/>
    </row>
    <row r="37" spans="1:15" x14ac:dyDescent="0.25">
      <c r="A37" s="1" t="s">
        <v>33</v>
      </c>
      <c r="B37">
        <v>27</v>
      </c>
      <c r="C37">
        <f t="shared" ref="C37:C38" si="11">0.403/SQRT(1^2+1^2+5^2)</f>
        <v>7.7557386161139732E-2</v>
      </c>
      <c r="D37">
        <f t="shared" si="0"/>
        <v>7.7557386161139725E-11</v>
      </c>
      <c r="E37" s="2">
        <f t="shared" si="10"/>
        <v>11.095803283136393</v>
      </c>
      <c r="F37">
        <f t="shared" si="1"/>
        <v>2.9851851851851851E-11</v>
      </c>
      <c r="G37">
        <f>5/1</f>
        <v>5</v>
      </c>
      <c r="I37" s="5" t="s">
        <v>65</v>
      </c>
      <c r="J37" s="4" t="s">
        <v>64</v>
      </c>
      <c r="K37" s="4" t="s">
        <v>64</v>
      </c>
      <c r="L37" s="5" t="s">
        <v>65</v>
      </c>
      <c r="M37" s="11"/>
      <c r="N37" s="12"/>
      <c r="O37" s="12"/>
    </row>
    <row r="38" spans="1:15" x14ac:dyDescent="0.25">
      <c r="A38" s="1" t="s">
        <v>37</v>
      </c>
      <c r="B38">
        <v>27</v>
      </c>
      <c r="C38">
        <f t="shared" si="11"/>
        <v>7.7557386161139732E-2</v>
      </c>
      <c r="D38">
        <f t="shared" si="0"/>
        <v>7.7557386161139725E-11</v>
      </c>
      <c r="E38" s="2">
        <f>ASIN(5/SQRT(B38))*180/PI()</f>
        <v>74.206830951736038</v>
      </c>
      <c r="F38">
        <f t="shared" si="1"/>
        <v>1.4925925925925924E-10</v>
      </c>
      <c r="G38">
        <f>1/1</f>
        <v>1</v>
      </c>
      <c r="I38" s="4" t="s">
        <v>64</v>
      </c>
      <c r="J38" s="4" t="s">
        <v>64</v>
      </c>
      <c r="K38" s="5" t="s">
        <v>65</v>
      </c>
      <c r="L38" s="5" t="s">
        <v>65</v>
      </c>
      <c r="M38" s="11"/>
      <c r="N38" s="12"/>
      <c r="O38" s="12"/>
    </row>
    <row r="39" spans="1:15" x14ac:dyDescent="0.25">
      <c r="A39" s="1" t="s">
        <v>30</v>
      </c>
      <c r="B39">
        <v>19</v>
      </c>
      <c r="C39">
        <f>0.403/SQRT(1^2+3^2+3^2)</f>
        <v>9.2454540749836389E-2</v>
      </c>
      <c r="D39">
        <f t="shared" si="0"/>
        <v>9.245454074983638E-11</v>
      </c>
      <c r="E39" s="2">
        <f t="shared" si="10"/>
        <v>13.262676008304846</v>
      </c>
      <c r="F39">
        <f t="shared" si="1"/>
        <v>4.2421052631578945E-11</v>
      </c>
      <c r="G39">
        <f>3/3</f>
        <v>1</v>
      </c>
      <c r="I39" s="4" t="s">
        <v>64</v>
      </c>
      <c r="J39" s="4" t="s">
        <v>64</v>
      </c>
      <c r="K39" s="4" t="s">
        <v>64</v>
      </c>
      <c r="L39" s="4" t="s">
        <v>64</v>
      </c>
      <c r="M39" s="13" t="str">
        <f>A39</f>
        <v>133</v>
      </c>
      <c r="N39" s="8">
        <f>E39</f>
        <v>13.262676008304846</v>
      </c>
      <c r="O39" s="4">
        <f>G39</f>
        <v>1</v>
      </c>
    </row>
    <row r="40" spans="1:15" x14ac:dyDescent="0.25">
      <c r="A40" s="1" t="s">
        <v>38</v>
      </c>
      <c r="B40">
        <v>19</v>
      </c>
      <c r="C40">
        <f t="shared" ref="C40:C41" si="12">0.403/SQRT(1^2+3^2+3^2)</f>
        <v>9.2454540749836389E-2</v>
      </c>
      <c r="D40">
        <f t="shared" si="0"/>
        <v>9.245454074983638E-11</v>
      </c>
      <c r="E40" s="2">
        <f>ASIN(3/SQRT(B40))*180/PI()</f>
        <v>43.491519345091994</v>
      </c>
      <c r="F40">
        <f t="shared" si="1"/>
        <v>1.272631578947368E-10</v>
      </c>
      <c r="G40">
        <f>1/3</f>
        <v>0.33333333333333331</v>
      </c>
      <c r="I40" s="4" t="s">
        <v>64</v>
      </c>
      <c r="J40" s="4" t="s">
        <v>64</v>
      </c>
      <c r="K40" s="5" t="s">
        <v>65</v>
      </c>
      <c r="L40" s="5" t="s">
        <v>65</v>
      </c>
      <c r="M40" s="11"/>
      <c r="N40" s="12"/>
      <c r="O40" s="12"/>
    </row>
    <row r="41" spans="1:15" x14ac:dyDescent="0.25">
      <c r="A41" s="1" t="s">
        <v>34</v>
      </c>
      <c r="B41">
        <v>19</v>
      </c>
      <c r="C41">
        <f t="shared" si="12"/>
        <v>9.2454540749836389E-2</v>
      </c>
      <c r="D41">
        <f t="shared" si="0"/>
        <v>9.245454074983638E-11</v>
      </c>
      <c r="E41" s="2">
        <f>ASIN(3/SQRT(B41))*180/PI()</f>
        <v>43.491519345091994</v>
      </c>
      <c r="F41">
        <f t="shared" si="1"/>
        <v>1.272631578947368E-10</v>
      </c>
      <c r="G41">
        <f>3/1</f>
        <v>3</v>
      </c>
      <c r="I41" s="4" t="s">
        <v>64</v>
      </c>
      <c r="J41" s="4" t="s">
        <v>64</v>
      </c>
      <c r="K41" s="5" t="s">
        <v>65</v>
      </c>
      <c r="L41" s="5" t="s">
        <v>65</v>
      </c>
      <c r="M41" s="11"/>
      <c r="N41" s="12"/>
      <c r="O41" s="12"/>
    </row>
    <row r="42" spans="1:15" x14ac:dyDescent="0.25">
      <c r="A42" s="1" t="s">
        <v>31</v>
      </c>
      <c r="B42">
        <v>35</v>
      </c>
      <c r="C42">
        <f>0.403/SQRT(1^2+3^2+5^2)</f>
        <v>6.811943293111844E-2</v>
      </c>
      <c r="D42">
        <f t="shared" si="0"/>
        <v>6.811943293111843E-11</v>
      </c>
      <c r="E42" s="2">
        <f t="shared" si="10"/>
        <v>9.7314754731576265</v>
      </c>
      <c r="F42">
        <f t="shared" si="1"/>
        <v>2.3028571428571422E-11</v>
      </c>
      <c r="G42">
        <f>3/5</f>
        <v>0.6</v>
      </c>
      <c r="I42" s="5" t="s">
        <v>65</v>
      </c>
      <c r="J42" s="5" t="s">
        <v>65</v>
      </c>
      <c r="K42" s="4" t="s">
        <v>64</v>
      </c>
      <c r="L42" s="5" t="s">
        <v>65</v>
      </c>
      <c r="M42" s="11"/>
      <c r="N42" s="12"/>
      <c r="O42" s="12"/>
    </row>
    <row r="43" spans="1:15" x14ac:dyDescent="0.25">
      <c r="A43" s="1" t="s">
        <v>39</v>
      </c>
      <c r="B43">
        <v>35</v>
      </c>
      <c r="C43">
        <f t="shared" ref="C43:C47" si="13">0.403/SQRT(1^2+3^2+5^2)</f>
        <v>6.811943293111844E-2</v>
      </c>
      <c r="D43">
        <f t="shared" si="0"/>
        <v>6.811943293111843E-11</v>
      </c>
      <c r="E43" s="2">
        <f>ASIN(3/SQRT(B43))*180/PI()</f>
        <v>30.47035946597974</v>
      </c>
      <c r="F43">
        <f t="shared" si="1"/>
        <v>6.9085714285714282E-11</v>
      </c>
      <c r="G43">
        <f>1/5</f>
        <v>0.2</v>
      </c>
      <c r="I43" s="4" t="s">
        <v>64</v>
      </c>
      <c r="J43" s="4" t="s">
        <v>64</v>
      </c>
      <c r="K43" s="4" t="s">
        <v>64</v>
      </c>
      <c r="L43" s="4" t="s">
        <v>64</v>
      </c>
      <c r="M43" s="13" t="str">
        <f>A43</f>
        <v>315</v>
      </c>
      <c r="N43" s="8">
        <f>E43</f>
        <v>30.47035946597974</v>
      </c>
      <c r="O43" s="4">
        <f>G43</f>
        <v>0.2</v>
      </c>
    </row>
    <row r="44" spans="1:15" x14ac:dyDescent="0.25">
      <c r="A44" s="1" t="s">
        <v>35</v>
      </c>
      <c r="B44">
        <v>35</v>
      </c>
      <c r="C44">
        <f t="shared" si="13"/>
        <v>6.811943293111844E-2</v>
      </c>
      <c r="D44">
        <f t="shared" si="0"/>
        <v>6.811943293111843E-11</v>
      </c>
      <c r="E44" s="2">
        <f>ASIN(3/SQRT(B44))*180/PI()</f>
        <v>30.47035946597974</v>
      </c>
      <c r="F44">
        <f t="shared" si="1"/>
        <v>6.9085714285714282E-11</v>
      </c>
      <c r="G44">
        <f>5/1</f>
        <v>5</v>
      </c>
      <c r="I44" s="4" t="s">
        <v>64</v>
      </c>
      <c r="J44" s="4" t="s">
        <v>64</v>
      </c>
      <c r="K44" s="4" t="s">
        <v>64</v>
      </c>
      <c r="L44" s="4" t="s">
        <v>64</v>
      </c>
      <c r="M44" s="13" t="str">
        <f>A44</f>
        <v>351</v>
      </c>
      <c r="N44" s="8">
        <f>E44</f>
        <v>30.47035946597974</v>
      </c>
      <c r="O44" s="4">
        <f>G44</f>
        <v>5</v>
      </c>
    </row>
    <row r="45" spans="1:15" x14ac:dyDescent="0.25">
      <c r="A45" s="1" t="s">
        <v>40</v>
      </c>
      <c r="B45">
        <v>35</v>
      </c>
      <c r="C45">
        <f t="shared" si="13"/>
        <v>6.811943293111844E-2</v>
      </c>
      <c r="D45">
        <f t="shared" si="0"/>
        <v>6.811943293111843E-11</v>
      </c>
      <c r="E45" s="2">
        <f>ASIN(5/SQRT(B45))*180/PI()</f>
        <v>57.688466762576148</v>
      </c>
      <c r="F45">
        <f t="shared" si="1"/>
        <v>1.1514285714285713E-10</v>
      </c>
      <c r="G45">
        <f>3/1</f>
        <v>3</v>
      </c>
      <c r="I45" s="4" t="s">
        <v>64</v>
      </c>
      <c r="J45" s="4" t="s">
        <v>64</v>
      </c>
      <c r="K45" s="5" t="s">
        <v>65</v>
      </c>
      <c r="L45" s="5" t="s">
        <v>65</v>
      </c>
      <c r="M45" s="10"/>
      <c r="N45" s="12"/>
      <c r="O45" s="12"/>
    </row>
    <row r="46" spans="1:15" x14ac:dyDescent="0.25">
      <c r="A46" s="1" t="s">
        <v>41</v>
      </c>
      <c r="B46">
        <v>35</v>
      </c>
      <c r="C46">
        <f t="shared" si="13"/>
        <v>6.811943293111844E-2</v>
      </c>
      <c r="D46">
        <f t="shared" si="0"/>
        <v>6.811943293111843E-11</v>
      </c>
      <c r="E46" s="2">
        <f>ASIN(5/SQRT(B46))*180/PI()</f>
        <v>57.688466762576148</v>
      </c>
      <c r="F46">
        <f t="shared" si="1"/>
        <v>1.1514285714285713E-10</v>
      </c>
      <c r="G46">
        <f>1/3</f>
        <v>0.33333333333333331</v>
      </c>
      <c r="I46" s="4" t="s">
        <v>64</v>
      </c>
      <c r="J46" s="4" t="s">
        <v>64</v>
      </c>
      <c r="K46" s="5" t="s">
        <v>65</v>
      </c>
      <c r="L46" s="5" t="s">
        <v>65</v>
      </c>
      <c r="M46" s="10"/>
      <c r="N46" s="12"/>
      <c r="O46" s="12"/>
    </row>
    <row r="47" spans="1:15" x14ac:dyDescent="0.25">
      <c r="A47" s="1" t="s">
        <v>42</v>
      </c>
      <c r="B47">
        <v>35</v>
      </c>
      <c r="C47">
        <f t="shared" si="13"/>
        <v>6.811943293111844E-2</v>
      </c>
      <c r="D47">
        <f t="shared" si="0"/>
        <v>6.811943293111843E-11</v>
      </c>
      <c r="E47" s="2">
        <f t="shared" si="10"/>
        <v>9.7314754731576265</v>
      </c>
      <c r="F47">
        <f t="shared" si="1"/>
        <v>2.3028571428571422E-11</v>
      </c>
      <c r="G47">
        <f>5/3</f>
        <v>1.6666666666666667</v>
      </c>
      <c r="I47" s="5" t="s">
        <v>65</v>
      </c>
      <c r="J47" s="5" t="s">
        <v>65</v>
      </c>
      <c r="K47" s="4" t="s">
        <v>64</v>
      </c>
      <c r="L47" s="5" t="s">
        <v>65</v>
      </c>
      <c r="M47" s="10"/>
      <c r="N47" s="12"/>
      <c r="O47" s="12"/>
    </row>
    <row r="48" spans="1:15" x14ac:dyDescent="0.25">
      <c r="A48" s="1" t="s">
        <v>43</v>
      </c>
      <c r="B48">
        <v>43</v>
      </c>
      <c r="C48">
        <f>0.403/SQRT(3^2+3^2+5^2)</f>
        <v>6.1456923844039689E-2</v>
      </c>
      <c r="D48">
        <f t="shared" si="0"/>
        <v>6.1456923844039679E-11</v>
      </c>
      <c r="E48" s="2">
        <f>ASIN(3/SQRT(B48))*180/PI()</f>
        <v>27.225627998563958</v>
      </c>
      <c r="F48">
        <f t="shared" si="1"/>
        <v>5.6232558139534887E-11</v>
      </c>
      <c r="G48">
        <f>3/5</f>
        <v>0.6</v>
      </c>
      <c r="I48" s="4" t="s">
        <v>64</v>
      </c>
      <c r="J48" s="4" t="s">
        <v>64</v>
      </c>
      <c r="K48" s="4" t="s">
        <v>64</v>
      </c>
      <c r="L48" s="4" t="s">
        <v>64</v>
      </c>
      <c r="M48" s="13" t="str">
        <f>A48</f>
        <v>335</v>
      </c>
      <c r="N48" s="8">
        <f>E48</f>
        <v>27.225627998563958</v>
      </c>
      <c r="O48" s="4">
        <f>G48</f>
        <v>0.6</v>
      </c>
    </row>
    <row r="49" spans="1:15" x14ac:dyDescent="0.25">
      <c r="A49" s="1" t="s">
        <v>44</v>
      </c>
      <c r="B49">
        <v>43</v>
      </c>
      <c r="C49">
        <f t="shared" ref="C49:C50" si="14">0.403/SQRT(3^2+3^2+5^2)</f>
        <v>6.1456923844039689E-2</v>
      </c>
      <c r="D49">
        <f t="shared" si="0"/>
        <v>6.1456923844039679E-11</v>
      </c>
      <c r="E49" s="2">
        <f>ASIN(3/SQRT(B49))*180/PI()</f>
        <v>27.225627998563958</v>
      </c>
      <c r="F49">
        <f t="shared" si="1"/>
        <v>5.6232558139534887E-11</v>
      </c>
      <c r="G49">
        <f>5/3</f>
        <v>1.6666666666666667</v>
      </c>
      <c r="I49" s="4" t="s">
        <v>64</v>
      </c>
      <c r="J49" s="4" t="s">
        <v>64</v>
      </c>
      <c r="K49" s="4" t="s">
        <v>64</v>
      </c>
      <c r="L49" s="4" t="s">
        <v>64</v>
      </c>
      <c r="M49" s="13" t="str">
        <f>A49</f>
        <v>353</v>
      </c>
      <c r="N49" s="8">
        <f>E49</f>
        <v>27.225627998563958</v>
      </c>
      <c r="O49" s="4">
        <f>G49</f>
        <v>1.6666666666666667</v>
      </c>
    </row>
    <row r="50" spans="1:15" x14ac:dyDescent="0.25">
      <c r="A50" s="1" t="s">
        <v>45</v>
      </c>
      <c r="B50">
        <v>43</v>
      </c>
      <c r="C50">
        <f t="shared" si="14"/>
        <v>6.1456923844039689E-2</v>
      </c>
      <c r="D50">
        <f t="shared" si="0"/>
        <v>6.1456923844039679E-11</v>
      </c>
      <c r="E50" s="2">
        <f>ASIN(5/SQRT(B50))*180/PI()</f>
        <v>49.68445778922743</v>
      </c>
      <c r="F50">
        <f t="shared" si="1"/>
        <v>9.372093023255814E-11</v>
      </c>
      <c r="G50">
        <f>3/3</f>
        <v>1</v>
      </c>
      <c r="I50" s="4" t="s">
        <v>64</v>
      </c>
      <c r="J50" s="4" t="s">
        <v>64</v>
      </c>
      <c r="K50" s="5" t="s">
        <v>65</v>
      </c>
      <c r="L50" s="5" t="s">
        <v>65</v>
      </c>
      <c r="M50" s="11"/>
      <c r="N50" s="12"/>
      <c r="O50" s="12"/>
    </row>
    <row r="51" spans="1:15" x14ac:dyDescent="0.25">
      <c r="A51" s="1" t="s">
        <v>50</v>
      </c>
      <c r="B51">
        <v>16</v>
      </c>
      <c r="C51">
        <f>0.403/SQRT(4^2+0^2+0^2)</f>
        <v>0.10075000000000001</v>
      </c>
      <c r="D51">
        <f t="shared" si="0"/>
        <v>1.0075E-10</v>
      </c>
      <c r="E51" s="2">
        <f>ASIN(4/SQRT(B51))*180/PI()</f>
        <v>90</v>
      </c>
      <c r="F51">
        <f t="shared" si="1"/>
        <v>2.015E-10</v>
      </c>
      <c r="G51" t="e">
        <f>0/0</f>
        <v>#DIV/0!</v>
      </c>
      <c r="I51" s="4" t="s">
        <v>64</v>
      </c>
      <c r="J51" s="4" t="s">
        <v>64</v>
      </c>
      <c r="K51" s="5" t="s">
        <v>65</v>
      </c>
      <c r="L51" s="5" t="s">
        <v>65</v>
      </c>
      <c r="M51" s="11"/>
      <c r="N51" s="12"/>
      <c r="O51" s="12"/>
    </row>
    <row r="52" spans="1:15" x14ac:dyDescent="0.25">
      <c r="A52" s="1" t="s">
        <v>51</v>
      </c>
      <c r="B52">
        <v>16</v>
      </c>
      <c r="C52">
        <f t="shared" ref="C52:C53" si="15">0.403/SQRT(4^2+0^2+0^2)</f>
        <v>0.10075000000000001</v>
      </c>
      <c r="D52">
        <f t="shared" si="0"/>
        <v>1.0075E-10</v>
      </c>
      <c r="E52" s="2">
        <f>ASIN(0/SQRT(B52))*180/PI()</f>
        <v>0</v>
      </c>
      <c r="F52">
        <f t="shared" si="1"/>
        <v>0</v>
      </c>
      <c r="G52" t="e">
        <f>4/0</f>
        <v>#DIV/0!</v>
      </c>
      <c r="I52" s="5" t="s">
        <v>65</v>
      </c>
      <c r="J52" s="5" t="s">
        <v>65</v>
      </c>
      <c r="K52" s="4" t="s">
        <v>64</v>
      </c>
      <c r="L52" s="5" t="s">
        <v>65</v>
      </c>
      <c r="M52" s="11"/>
      <c r="N52" s="12"/>
      <c r="O52" s="12"/>
    </row>
    <row r="53" spans="1:15" x14ac:dyDescent="0.25">
      <c r="A53" s="1" t="s">
        <v>52</v>
      </c>
      <c r="B53">
        <v>16</v>
      </c>
      <c r="C53">
        <f t="shared" si="15"/>
        <v>0.10075000000000001</v>
      </c>
      <c r="D53">
        <f t="shared" si="0"/>
        <v>1.0075E-10</v>
      </c>
      <c r="E53" s="2">
        <f>ASIN(0/SQRT(B53))*180/PI()</f>
        <v>0</v>
      </c>
      <c r="F53">
        <f t="shared" si="1"/>
        <v>0</v>
      </c>
      <c r="G53">
        <f>0/4</f>
        <v>0</v>
      </c>
      <c r="I53" s="5" t="s">
        <v>65</v>
      </c>
      <c r="J53" s="5" t="s">
        <v>65</v>
      </c>
      <c r="K53" s="4" t="s">
        <v>64</v>
      </c>
      <c r="L53" s="5" t="s">
        <v>65</v>
      </c>
      <c r="M53" s="11"/>
      <c r="N53" s="12"/>
      <c r="O53" s="12"/>
    </row>
    <row r="54" spans="1:15" x14ac:dyDescent="0.25">
      <c r="A54" s="1" t="s">
        <v>53</v>
      </c>
      <c r="B54">
        <v>36</v>
      </c>
      <c r="C54">
        <f>0.403/SQRT(6^2+0^2+0^2)</f>
        <v>6.7166666666666666E-2</v>
      </c>
      <c r="D54">
        <f t="shared" si="0"/>
        <v>6.7166666666666667E-11</v>
      </c>
      <c r="E54" s="2">
        <f>ASIN(6/SQRT(B54))*180/PI()</f>
        <v>90</v>
      </c>
      <c r="F54">
        <f t="shared" si="1"/>
        <v>1.3433333333333333E-10</v>
      </c>
      <c r="G54" t="e">
        <f>0/0</f>
        <v>#DIV/0!</v>
      </c>
      <c r="I54" s="4" t="s">
        <v>64</v>
      </c>
      <c r="J54" s="4" t="s">
        <v>64</v>
      </c>
      <c r="K54" s="5" t="s">
        <v>65</v>
      </c>
      <c r="L54" s="5" t="s">
        <v>65</v>
      </c>
      <c r="M54" s="11"/>
      <c r="N54" s="12"/>
      <c r="O54" s="12"/>
    </row>
    <row r="55" spans="1:15" x14ac:dyDescent="0.25">
      <c r="A55" s="1" t="s">
        <v>54</v>
      </c>
      <c r="B55">
        <v>36</v>
      </c>
      <c r="C55">
        <f t="shared" ref="C55:C56" si="16">0.403/SQRT(6^2+0^2+0^2)</f>
        <v>6.7166666666666666E-2</v>
      </c>
      <c r="D55">
        <f t="shared" si="0"/>
        <v>6.7166666666666667E-11</v>
      </c>
      <c r="E55" s="2">
        <f>ASIN(0/SQRT(B55))*180/PI()</f>
        <v>0</v>
      </c>
      <c r="F55">
        <f t="shared" si="1"/>
        <v>0</v>
      </c>
      <c r="G55" t="e">
        <f>6/0</f>
        <v>#DIV/0!</v>
      </c>
      <c r="I55" s="5" t="s">
        <v>65</v>
      </c>
      <c r="J55" s="5" t="s">
        <v>65</v>
      </c>
      <c r="K55" s="4" t="s">
        <v>64</v>
      </c>
      <c r="L55" s="5" t="s">
        <v>65</v>
      </c>
      <c r="M55" s="11"/>
      <c r="N55" s="12"/>
      <c r="O55" s="12"/>
    </row>
    <row r="56" spans="1:15" ht="15.75" thickBot="1" x14ac:dyDescent="0.3">
      <c r="A56" s="1" t="s">
        <v>55</v>
      </c>
      <c r="B56">
        <v>36</v>
      </c>
      <c r="C56">
        <f t="shared" si="16"/>
        <v>6.7166666666666666E-2</v>
      </c>
      <c r="D56">
        <f t="shared" si="0"/>
        <v>6.7166666666666667E-11</v>
      </c>
      <c r="E56" s="2">
        <f>ASIN(0/SQRT(B56))*180/PI()</f>
        <v>0</v>
      </c>
      <c r="F56">
        <f t="shared" si="1"/>
        <v>0</v>
      </c>
      <c r="G56">
        <f>0/6</f>
        <v>0</v>
      </c>
      <c r="I56" s="5" t="s">
        <v>65</v>
      </c>
      <c r="J56" s="5" t="s">
        <v>65</v>
      </c>
      <c r="K56" s="6" t="s">
        <v>64</v>
      </c>
      <c r="L56" s="5" t="s">
        <v>65</v>
      </c>
      <c r="M56" s="11"/>
      <c r="N56" s="12"/>
      <c r="O56" s="12"/>
    </row>
    <row r="57" spans="1:15" ht="15.75" thickBot="1" x14ac:dyDescent="0.3">
      <c r="A57" s="1"/>
      <c r="C57" s="1"/>
      <c r="L57" s="7" t="s">
        <v>70</v>
      </c>
    </row>
    <row r="58" spans="1:15" x14ac:dyDescent="0.25">
      <c r="A58" s="1"/>
      <c r="C58" s="1"/>
    </row>
    <row r="59" spans="1:15" x14ac:dyDescent="0.25">
      <c r="A59" s="1"/>
      <c r="C59" s="1"/>
    </row>
    <row r="60" spans="1:15" x14ac:dyDescent="0.25">
      <c r="A60" s="1"/>
      <c r="C60" s="1"/>
    </row>
    <row r="61" spans="1:15" x14ac:dyDescent="0.25">
      <c r="A61" s="1"/>
      <c r="C61" s="1"/>
    </row>
    <row r="62" spans="1:15" x14ac:dyDescent="0.25">
      <c r="A62" s="1"/>
      <c r="C62" s="1"/>
    </row>
    <row r="63" spans="1:15" x14ac:dyDescent="0.25">
      <c r="A63" s="1"/>
      <c r="C63" s="1"/>
    </row>
    <row r="64" spans="1:15" x14ac:dyDescent="0.25">
      <c r="A64" s="1"/>
      <c r="C64" s="1"/>
    </row>
    <row r="65" spans="1:18" x14ac:dyDescent="0.25">
      <c r="A65" s="1"/>
      <c r="C65" s="1"/>
    </row>
    <row r="66" spans="1:18" x14ac:dyDescent="0.25">
      <c r="A66" s="1"/>
      <c r="C66" s="1"/>
    </row>
    <row r="67" spans="1:18" x14ac:dyDescent="0.25">
      <c r="A67" s="1"/>
      <c r="C67" s="1"/>
    </row>
    <row r="68" spans="1:18" x14ac:dyDescent="0.25">
      <c r="A68" s="14" t="s">
        <v>72</v>
      </c>
      <c r="B68" s="14"/>
      <c r="C68" s="14"/>
      <c r="D68" s="1"/>
      <c r="E68" s="1"/>
      <c r="F68" s="1"/>
      <c r="G68" s="1"/>
      <c r="H68" s="1"/>
    </row>
    <row r="69" spans="1:18" x14ac:dyDescent="0.25">
      <c r="A69" t="s">
        <v>48</v>
      </c>
      <c r="B69" t="s">
        <v>49</v>
      </c>
      <c r="C69" s="2" t="s">
        <v>57</v>
      </c>
      <c r="D69" t="s">
        <v>58</v>
      </c>
      <c r="E69" s="1" t="s">
        <v>62</v>
      </c>
      <c r="F69" s="1" t="s">
        <v>59</v>
      </c>
      <c r="G69" s="1" t="s">
        <v>60</v>
      </c>
      <c r="H69" s="1"/>
      <c r="I69" s="1" t="s">
        <v>63</v>
      </c>
      <c r="J69" s="1" t="s">
        <v>66</v>
      </c>
      <c r="K69" s="1" t="s">
        <v>73</v>
      </c>
      <c r="L69" s="1" t="s">
        <v>69</v>
      </c>
      <c r="M69" s="9" t="s">
        <v>48</v>
      </c>
      <c r="N69" s="1" t="s">
        <v>71</v>
      </c>
      <c r="O69" s="1" t="s">
        <v>60</v>
      </c>
      <c r="R69" s="1" t="s">
        <v>61</v>
      </c>
    </row>
    <row r="70" spans="1:18" x14ac:dyDescent="0.25">
      <c r="A70" s="1" t="s">
        <v>46</v>
      </c>
      <c r="B70">
        <v>3</v>
      </c>
      <c r="C70">
        <f>0.564/SQRT(1+1+1)</f>
        <v>0.32562555182294894</v>
      </c>
      <c r="D70">
        <f>0.000000000564/SQRT(B70)</f>
        <v>3.2562555182294898E-10</v>
      </c>
      <c r="E70" s="2">
        <f>ASIN(1/SQRT(B70))*180/PI()</f>
        <v>35.264389682754668</v>
      </c>
      <c r="F70">
        <f>2*D70*SIN(RADIANS(E70))</f>
        <v>3.760000000000002E-10</v>
      </c>
      <c r="G70">
        <f>1/1</f>
        <v>1</v>
      </c>
      <c r="H70" s="1"/>
      <c r="I70" s="4" t="s">
        <v>64</v>
      </c>
      <c r="J70" s="4" t="s">
        <v>64</v>
      </c>
      <c r="K70" s="5" t="s">
        <v>65</v>
      </c>
      <c r="L70" s="5" t="s">
        <v>65</v>
      </c>
      <c r="M70" s="11"/>
      <c r="N70" s="12"/>
      <c r="O70" s="12"/>
      <c r="R70" s="3">
        <v>3.5419999999999999E-11</v>
      </c>
    </row>
    <row r="71" spans="1:18" x14ac:dyDescent="0.25">
      <c r="A71" s="1" t="s">
        <v>4</v>
      </c>
      <c r="B71">
        <v>12</v>
      </c>
      <c r="C71">
        <f>0.564/SQRT(2^2+2^2+2^2)</f>
        <v>0.16281277591147447</v>
      </c>
      <c r="D71">
        <f t="shared" ref="D71:D123" si="17">0.000000000564/SQRT(B71)</f>
        <v>1.6281277591147449E-10</v>
      </c>
      <c r="E71" s="2">
        <f>ASIN(2/SQRT(B71))*180/PI()</f>
        <v>35.264389682754668</v>
      </c>
      <c r="F71">
        <f t="shared" ref="F71:F123" si="18">2*D71*SIN(RADIANS(E71))</f>
        <v>1.880000000000001E-10</v>
      </c>
      <c r="G71">
        <f>2/2</f>
        <v>1</v>
      </c>
      <c r="H71" s="1"/>
      <c r="I71" s="4" t="s">
        <v>64</v>
      </c>
      <c r="J71" s="4" t="s">
        <v>64</v>
      </c>
      <c r="K71" s="5" t="s">
        <v>65</v>
      </c>
      <c r="L71" s="5" t="s">
        <v>65</v>
      </c>
      <c r="M71" s="11"/>
      <c r="N71" s="12"/>
      <c r="O71" s="12"/>
      <c r="R71" t="s">
        <v>67</v>
      </c>
    </row>
    <row r="72" spans="1:18" x14ac:dyDescent="0.25">
      <c r="A72" s="1" t="s">
        <v>3</v>
      </c>
      <c r="B72">
        <v>27</v>
      </c>
      <c r="C72">
        <f>0.564/SQRT(3^2+3^2+3^2)</f>
        <v>0.10854185060764963</v>
      </c>
      <c r="D72">
        <f t="shared" si="17"/>
        <v>1.0854185060764965E-10</v>
      </c>
      <c r="E72" s="2">
        <f>ASIN(3/SQRT(B72))*180/PI()</f>
        <v>35.264389682754654</v>
      </c>
      <c r="F72">
        <f t="shared" si="18"/>
        <v>1.2533333333333337E-10</v>
      </c>
      <c r="G72">
        <f>3/3</f>
        <v>1</v>
      </c>
      <c r="H72" s="1"/>
      <c r="I72" s="4" t="s">
        <v>64</v>
      </c>
      <c r="J72" s="4" t="s">
        <v>64</v>
      </c>
      <c r="K72" s="5" t="s">
        <v>65</v>
      </c>
      <c r="L72" s="5" t="s">
        <v>65</v>
      </c>
      <c r="M72" s="11"/>
      <c r="N72" s="12"/>
      <c r="O72" s="12"/>
      <c r="R72">
        <v>25.04</v>
      </c>
    </row>
    <row r="73" spans="1:18" x14ac:dyDescent="0.25">
      <c r="A73" s="1" t="s">
        <v>47</v>
      </c>
      <c r="B73">
        <v>4</v>
      </c>
      <c r="C73">
        <f>0.564/SQRT(2^2+0+0)</f>
        <v>0.28199999999999997</v>
      </c>
      <c r="D73">
        <f t="shared" si="17"/>
        <v>2.8200000000000001E-10</v>
      </c>
      <c r="E73" s="2">
        <f>ASIN(2/SQRT(B73))*180/PI()</f>
        <v>90</v>
      </c>
      <c r="F73">
        <f t="shared" si="18"/>
        <v>5.6400000000000002E-10</v>
      </c>
      <c r="G73" t="e">
        <f>0/0</f>
        <v>#DIV/0!</v>
      </c>
      <c r="H73" s="1"/>
      <c r="I73" s="4" t="s">
        <v>64</v>
      </c>
      <c r="J73" s="4" t="s">
        <v>64</v>
      </c>
      <c r="K73" s="5" t="s">
        <v>65</v>
      </c>
      <c r="L73" s="5" t="s">
        <v>65</v>
      </c>
      <c r="M73" s="11"/>
      <c r="N73" s="12"/>
      <c r="O73" s="12"/>
    </row>
    <row r="74" spans="1:18" x14ac:dyDescent="0.25">
      <c r="A74" s="1" t="s">
        <v>0</v>
      </c>
      <c r="B74">
        <v>4</v>
      </c>
      <c r="C74">
        <f>0.564/SQRT(2^2+0+0)</f>
        <v>0.28199999999999997</v>
      </c>
      <c r="D74">
        <f t="shared" si="17"/>
        <v>2.8200000000000001E-10</v>
      </c>
      <c r="E74" s="2">
        <f>ASIN(0/SQRT(B74))*180/PI()</f>
        <v>0</v>
      </c>
      <c r="F74">
        <f t="shared" si="18"/>
        <v>0</v>
      </c>
      <c r="G74" t="e">
        <f>2/0</f>
        <v>#DIV/0!</v>
      </c>
      <c r="H74" s="1"/>
      <c r="I74" s="5" t="s">
        <v>65</v>
      </c>
      <c r="J74" s="5" t="s">
        <v>65</v>
      </c>
      <c r="K74" s="4" t="s">
        <v>64</v>
      </c>
      <c r="L74" s="5" t="s">
        <v>65</v>
      </c>
      <c r="M74" s="11"/>
      <c r="N74" s="12"/>
      <c r="O74" s="12"/>
    </row>
    <row r="75" spans="1:18" x14ac:dyDescent="0.25">
      <c r="A75" s="1" t="s">
        <v>1</v>
      </c>
      <c r="B75">
        <v>4</v>
      </c>
      <c r="C75">
        <f>0.564/SQRT(2^2+0+0)</f>
        <v>0.28199999999999997</v>
      </c>
      <c r="D75">
        <f t="shared" si="17"/>
        <v>2.8200000000000001E-10</v>
      </c>
      <c r="E75" s="2">
        <f>ASIN(0/SQRT(B75))*180/PI()</f>
        <v>0</v>
      </c>
      <c r="F75">
        <f t="shared" si="18"/>
        <v>0</v>
      </c>
      <c r="G75">
        <f>0/2</f>
        <v>0</v>
      </c>
      <c r="H75" s="1"/>
      <c r="I75" s="5" t="s">
        <v>65</v>
      </c>
      <c r="J75" s="5" t="s">
        <v>65</v>
      </c>
      <c r="K75" s="4" t="s">
        <v>64</v>
      </c>
      <c r="L75" s="5" t="s">
        <v>65</v>
      </c>
      <c r="M75" s="11"/>
      <c r="N75" s="12"/>
      <c r="O75" s="12"/>
    </row>
    <row r="76" spans="1:18" x14ac:dyDescent="0.25">
      <c r="A76" s="1" t="s">
        <v>11</v>
      </c>
      <c r="B76">
        <v>8</v>
      </c>
      <c r="C76">
        <f>0.564/SQRT(2^2+2^2+0)</f>
        <v>0.19940411229460636</v>
      </c>
      <c r="D76">
        <f t="shared" si="17"/>
        <v>1.994041122946064E-10</v>
      </c>
      <c r="E76" s="2">
        <f>ASIN(2/SQRT(B76))*180/PI()</f>
        <v>45</v>
      </c>
      <c r="F76">
        <f t="shared" si="18"/>
        <v>2.8199999999999996E-10</v>
      </c>
      <c r="G76" t="e">
        <f>2/0</f>
        <v>#DIV/0!</v>
      </c>
      <c r="H76" s="1"/>
      <c r="I76" s="4" t="s">
        <v>64</v>
      </c>
      <c r="J76" s="4" t="s">
        <v>64</v>
      </c>
      <c r="K76" s="5" t="s">
        <v>65</v>
      </c>
      <c r="L76" s="5" t="s">
        <v>65</v>
      </c>
      <c r="M76" s="11"/>
      <c r="N76" s="12"/>
      <c r="O76" s="12"/>
    </row>
    <row r="77" spans="1:18" x14ac:dyDescent="0.25">
      <c r="A77" s="1" t="s">
        <v>12</v>
      </c>
      <c r="B77">
        <v>8</v>
      </c>
      <c r="C77">
        <f>0.564/SQRT(2^2+2^2+0)</f>
        <v>0.19940411229460636</v>
      </c>
      <c r="D77">
        <f t="shared" si="17"/>
        <v>1.994041122946064E-10</v>
      </c>
      <c r="E77" s="2">
        <f>ASIN(2/SQRT(B77))*180/PI()</f>
        <v>45</v>
      </c>
      <c r="F77">
        <f t="shared" si="18"/>
        <v>2.8199999999999996E-10</v>
      </c>
      <c r="G77">
        <f>0/2</f>
        <v>0</v>
      </c>
      <c r="H77" s="1"/>
      <c r="I77" s="4" t="s">
        <v>64</v>
      </c>
      <c r="J77" s="4" t="s">
        <v>64</v>
      </c>
      <c r="K77" s="5" t="s">
        <v>65</v>
      </c>
      <c r="L77" s="5" t="s">
        <v>65</v>
      </c>
      <c r="M77" s="11"/>
      <c r="N77" s="12"/>
      <c r="O77" s="12"/>
    </row>
    <row r="78" spans="1:18" x14ac:dyDescent="0.25">
      <c r="A78" s="1" t="s">
        <v>2</v>
      </c>
      <c r="B78">
        <v>8</v>
      </c>
      <c r="C78">
        <f>0.564/SQRT(2^2+2^2+0)</f>
        <v>0.19940411229460636</v>
      </c>
      <c r="D78">
        <f t="shared" si="17"/>
        <v>1.994041122946064E-10</v>
      </c>
      <c r="E78" s="2">
        <f>ASIN(0/SQRT(B78))*180/PI()</f>
        <v>0</v>
      </c>
      <c r="F78">
        <f t="shared" si="18"/>
        <v>0</v>
      </c>
      <c r="G78">
        <f>2/2</f>
        <v>1</v>
      </c>
      <c r="H78" s="1"/>
      <c r="I78" s="5" t="s">
        <v>65</v>
      </c>
      <c r="J78" s="5" t="s">
        <v>65</v>
      </c>
      <c r="K78" s="4" t="s">
        <v>64</v>
      </c>
      <c r="L78" s="5" t="s">
        <v>65</v>
      </c>
      <c r="M78" s="11"/>
      <c r="N78" s="12"/>
      <c r="O78" s="12"/>
    </row>
    <row r="79" spans="1:18" x14ac:dyDescent="0.25">
      <c r="A79" s="1" t="s">
        <v>13</v>
      </c>
      <c r="B79">
        <v>20</v>
      </c>
      <c r="C79">
        <f>0.564/SQRT(2^2+4^2+0^2)</f>
        <v>0.12611423393098811</v>
      </c>
      <c r="D79">
        <f t="shared" si="17"/>
        <v>1.2611423393098813E-10</v>
      </c>
      <c r="E79" s="2">
        <f>ASIN(2/SQRT(B79))*180/PI()</f>
        <v>26.56505117707799</v>
      </c>
      <c r="F79">
        <f t="shared" si="18"/>
        <v>1.1279999999999999E-10</v>
      </c>
      <c r="G79" t="e">
        <f>4/0</f>
        <v>#DIV/0!</v>
      </c>
      <c r="H79" s="1"/>
      <c r="I79" s="4" t="s">
        <v>64</v>
      </c>
      <c r="J79" s="4" t="s">
        <v>64</v>
      </c>
      <c r="K79" s="5" t="s">
        <v>65</v>
      </c>
      <c r="L79" s="5" t="s">
        <v>65</v>
      </c>
      <c r="M79" s="15"/>
      <c r="N79" s="16"/>
      <c r="O79" s="12"/>
    </row>
    <row r="80" spans="1:18" x14ac:dyDescent="0.25">
      <c r="A80" s="1" t="s">
        <v>15</v>
      </c>
      <c r="B80">
        <v>20</v>
      </c>
      <c r="C80">
        <f>0.564/SQRT(2^2+4^2+0^2)</f>
        <v>0.12611423393098811</v>
      </c>
      <c r="D80">
        <f t="shared" si="17"/>
        <v>1.2611423393098813E-10</v>
      </c>
      <c r="E80" s="2">
        <f>ASIN(2/SQRT(B80))*180/PI()</f>
        <v>26.56505117707799</v>
      </c>
      <c r="F80">
        <f t="shared" si="18"/>
        <v>1.1279999999999999E-10</v>
      </c>
      <c r="G80">
        <f>0/4</f>
        <v>0</v>
      </c>
      <c r="H80" s="1"/>
      <c r="I80" s="4" t="s">
        <v>64</v>
      </c>
      <c r="J80" s="4" t="s">
        <v>64</v>
      </c>
      <c r="K80" s="5" t="s">
        <v>65</v>
      </c>
      <c r="L80" s="5" t="s">
        <v>65</v>
      </c>
      <c r="M80" s="15"/>
      <c r="N80" s="16"/>
      <c r="O80" s="12"/>
    </row>
    <row r="81" spans="1:15" x14ac:dyDescent="0.25">
      <c r="A81" s="1" t="s">
        <v>16</v>
      </c>
      <c r="B81">
        <v>20</v>
      </c>
      <c r="C81">
        <f>0.564/SQRT(2^2+4^2+0^2)</f>
        <v>0.12611423393098811</v>
      </c>
      <c r="D81">
        <f t="shared" si="17"/>
        <v>1.2611423393098813E-10</v>
      </c>
      <c r="E81" s="2">
        <f>ASIN(0/SQRT(B81))*180/PI()</f>
        <v>0</v>
      </c>
      <c r="F81">
        <f t="shared" si="18"/>
        <v>0</v>
      </c>
      <c r="G81">
        <f>2/4</f>
        <v>0.5</v>
      </c>
      <c r="H81" s="1"/>
      <c r="I81" s="5" t="s">
        <v>65</v>
      </c>
      <c r="J81" s="5" t="s">
        <v>65</v>
      </c>
      <c r="K81" s="4" t="s">
        <v>64</v>
      </c>
      <c r="L81" s="5" t="s">
        <v>65</v>
      </c>
      <c r="M81" s="11"/>
      <c r="N81" s="12"/>
      <c r="O81" s="12"/>
    </row>
    <row r="82" spans="1:15" x14ac:dyDescent="0.25">
      <c r="A82" s="1" t="s">
        <v>17</v>
      </c>
      <c r="B82">
        <v>20</v>
      </c>
      <c r="C82">
        <f>0.564/SQRT(2^2+4^2+0^2)</f>
        <v>0.12611423393098811</v>
      </c>
      <c r="D82">
        <f t="shared" si="17"/>
        <v>1.2611423393098813E-10</v>
      </c>
      <c r="E82" s="2">
        <f>ASIN(0/SQRT(B82))*180/PI()</f>
        <v>0</v>
      </c>
      <c r="F82">
        <f t="shared" si="18"/>
        <v>0</v>
      </c>
      <c r="G82">
        <f>4/2</f>
        <v>2</v>
      </c>
      <c r="H82" s="1"/>
      <c r="I82" s="5" t="s">
        <v>65</v>
      </c>
      <c r="J82" s="5" t="s">
        <v>65</v>
      </c>
      <c r="K82" s="4" t="s">
        <v>64</v>
      </c>
      <c r="L82" s="5" t="s">
        <v>65</v>
      </c>
      <c r="M82" s="11"/>
      <c r="N82" s="12"/>
      <c r="O82" s="12"/>
    </row>
    <row r="83" spans="1:15" x14ac:dyDescent="0.25">
      <c r="A83" s="1" t="s">
        <v>19</v>
      </c>
      <c r="B83">
        <v>20</v>
      </c>
      <c r="C83">
        <f>0.564/SQRT(2^2+4^2+0^2)</f>
        <v>0.12611423393098811</v>
      </c>
      <c r="D83">
        <f t="shared" si="17"/>
        <v>1.2611423393098813E-10</v>
      </c>
      <c r="E83" s="2">
        <f>ASIN(4/SQRT(B83))*180/PI()</f>
        <v>63.43494882292201</v>
      </c>
      <c r="F83">
        <f t="shared" si="18"/>
        <v>2.2559999999999998E-10</v>
      </c>
      <c r="G83">
        <f>0/2</f>
        <v>0</v>
      </c>
      <c r="H83" s="1"/>
      <c r="I83" s="4" t="s">
        <v>64</v>
      </c>
      <c r="J83" s="4" t="s">
        <v>64</v>
      </c>
      <c r="K83" s="5" t="s">
        <v>65</v>
      </c>
      <c r="L83" s="5" t="s">
        <v>65</v>
      </c>
      <c r="M83" s="11"/>
      <c r="N83" s="12"/>
      <c r="O83" s="12"/>
    </row>
    <row r="84" spans="1:15" x14ac:dyDescent="0.25">
      <c r="A84" s="1" t="s">
        <v>18</v>
      </c>
      <c r="B84">
        <v>20</v>
      </c>
      <c r="C84">
        <f>0.564/SQRT(2^2+4^2+0^2)</f>
        <v>0.12611423393098811</v>
      </c>
      <c r="D84">
        <f t="shared" si="17"/>
        <v>1.2611423393098813E-10</v>
      </c>
      <c r="E84" s="2">
        <f>ASIN(4/SQRT(B84))*180/PI()</f>
        <v>63.43494882292201</v>
      </c>
      <c r="F84">
        <f t="shared" si="18"/>
        <v>2.2559999999999998E-10</v>
      </c>
      <c r="G84" t="e">
        <f>2/0</f>
        <v>#DIV/0!</v>
      </c>
      <c r="H84" s="1"/>
      <c r="I84" s="4" t="s">
        <v>64</v>
      </c>
      <c r="J84" s="4" t="s">
        <v>64</v>
      </c>
      <c r="K84" s="5" t="s">
        <v>65</v>
      </c>
      <c r="L84" s="5" t="s">
        <v>65</v>
      </c>
      <c r="M84" s="11"/>
      <c r="N84" s="12"/>
      <c r="O84" s="12"/>
    </row>
    <row r="85" spans="1:15" x14ac:dyDescent="0.25">
      <c r="A85" s="1" t="s">
        <v>14</v>
      </c>
      <c r="B85">
        <v>40</v>
      </c>
      <c r="C85">
        <f>0.564/SQRT(2^2+6^2+0^2)</f>
        <v>8.9176230016748279E-2</v>
      </c>
      <c r="D85">
        <f t="shared" si="17"/>
        <v>8.9176230016748292E-11</v>
      </c>
      <c r="E85" s="2">
        <f>ASIN(2/SQRT(B85))*180/PI()</f>
        <v>18.434948822922014</v>
      </c>
      <c r="F85">
        <f t="shared" si="18"/>
        <v>5.6400000000000007E-11</v>
      </c>
      <c r="G85" t="e">
        <f>6/0</f>
        <v>#DIV/0!</v>
      </c>
      <c r="H85" s="1"/>
      <c r="I85" s="4" t="s">
        <v>64</v>
      </c>
      <c r="J85" s="4" t="s">
        <v>64</v>
      </c>
      <c r="K85" s="4" t="s">
        <v>64</v>
      </c>
      <c r="L85" s="4" t="s">
        <v>64</v>
      </c>
      <c r="M85" s="13" t="str">
        <f>A85</f>
        <v>260</v>
      </c>
      <c r="N85" s="8">
        <f>E85</f>
        <v>18.434948822922014</v>
      </c>
      <c r="O85" s="4" t="e">
        <f>G85</f>
        <v>#DIV/0!</v>
      </c>
    </row>
    <row r="86" spans="1:15" x14ac:dyDescent="0.25">
      <c r="A86" s="1" t="s">
        <v>21</v>
      </c>
      <c r="B86">
        <v>40</v>
      </c>
      <c r="C86">
        <f>0.564/SQRT(2^2+6^2+0^2)</f>
        <v>8.9176230016748279E-2</v>
      </c>
      <c r="D86">
        <f t="shared" si="17"/>
        <v>8.9176230016748292E-11</v>
      </c>
      <c r="E86" s="2">
        <f>ASIN(2/SQRT(B86))*180/PI()</f>
        <v>18.434948822922014</v>
      </c>
      <c r="F86">
        <f t="shared" si="18"/>
        <v>5.6400000000000007E-11</v>
      </c>
      <c r="G86">
        <f>0/6</f>
        <v>0</v>
      </c>
      <c r="H86" s="1"/>
      <c r="I86" s="4" t="s">
        <v>64</v>
      </c>
      <c r="J86" s="4" t="s">
        <v>64</v>
      </c>
      <c r="K86" s="4" t="s">
        <v>64</v>
      </c>
      <c r="L86" s="4" t="s">
        <v>64</v>
      </c>
      <c r="M86" s="13" t="str">
        <f>A86</f>
        <v>206</v>
      </c>
      <c r="N86" s="8">
        <f>E86</f>
        <v>18.434948822922014</v>
      </c>
      <c r="O86" s="4">
        <f>G86</f>
        <v>0</v>
      </c>
    </row>
    <row r="87" spans="1:15" x14ac:dyDescent="0.25">
      <c r="A87" s="1" t="s">
        <v>22</v>
      </c>
      <c r="B87">
        <v>40</v>
      </c>
      <c r="C87">
        <f>0.564/SQRT(2^2+6^2+0^2)</f>
        <v>8.9176230016748279E-2</v>
      </c>
      <c r="D87">
        <f t="shared" si="17"/>
        <v>8.9176230016748292E-11</v>
      </c>
      <c r="E87" s="2">
        <f>ASIN(0/SQRT(B87))*180/PI()</f>
        <v>0</v>
      </c>
      <c r="F87">
        <f t="shared" si="18"/>
        <v>0</v>
      </c>
      <c r="G87">
        <f>2/6</f>
        <v>0.33333333333333331</v>
      </c>
      <c r="H87" s="1"/>
      <c r="I87" s="5" t="s">
        <v>65</v>
      </c>
      <c r="J87" s="5" t="s">
        <v>65</v>
      </c>
      <c r="K87" s="4" t="s">
        <v>64</v>
      </c>
      <c r="L87" s="5" t="s">
        <v>65</v>
      </c>
      <c r="M87" s="11"/>
      <c r="N87" s="12"/>
      <c r="O87" s="12"/>
    </row>
    <row r="88" spans="1:15" x14ac:dyDescent="0.25">
      <c r="A88" s="1" t="s">
        <v>23</v>
      </c>
      <c r="B88">
        <v>40</v>
      </c>
      <c r="C88">
        <f>0.564/SQRT(2^2+6^2+0^2)</f>
        <v>8.9176230016748279E-2</v>
      </c>
      <c r="D88">
        <f t="shared" si="17"/>
        <v>8.9176230016748292E-11</v>
      </c>
      <c r="E88" s="2">
        <f>ASIN(0/SQRT(B88))*180/PI()</f>
        <v>0</v>
      </c>
      <c r="F88">
        <f t="shared" si="18"/>
        <v>0</v>
      </c>
      <c r="G88">
        <f>6/2</f>
        <v>3</v>
      </c>
      <c r="H88" s="1"/>
      <c r="I88" s="5" t="s">
        <v>65</v>
      </c>
      <c r="J88" s="5" t="s">
        <v>65</v>
      </c>
      <c r="K88" s="4" t="s">
        <v>64</v>
      </c>
      <c r="L88" s="5" t="s">
        <v>65</v>
      </c>
      <c r="M88" s="11"/>
      <c r="N88" s="12"/>
      <c r="O88" s="12"/>
    </row>
    <row r="89" spans="1:15" x14ac:dyDescent="0.25">
      <c r="A89" s="1" t="s">
        <v>20</v>
      </c>
      <c r="B89">
        <v>40</v>
      </c>
      <c r="C89">
        <f>0.564/SQRT(2^2+6^2+0^2)</f>
        <v>8.9176230016748279E-2</v>
      </c>
      <c r="D89">
        <f t="shared" si="17"/>
        <v>8.9176230016748292E-11</v>
      </c>
      <c r="E89" s="2">
        <f>ASIN(6/SQRT(B89))*180/PI()</f>
        <v>71.56505117707799</v>
      </c>
      <c r="F89">
        <f t="shared" si="18"/>
        <v>1.6919999999999999E-10</v>
      </c>
      <c r="G89">
        <f>0/2</f>
        <v>0</v>
      </c>
      <c r="H89" s="1"/>
      <c r="I89" s="4" t="s">
        <v>64</v>
      </c>
      <c r="J89" s="4" t="s">
        <v>64</v>
      </c>
      <c r="K89" s="5" t="s">
        <v>65</v>
      </c>
      <c r="L89" s="5" t="s">
        <v>65</v>
      </c>
      <c r="M89" s="11"/>
      <c r="N89" s="12"/>
      <c r="O89" s="12"/>
    </row>
    <row r="90" spans="1:15" x14ac:dyDescent="0.25">
      <c r="A90" s="1" t="s">
        <v>24</v>
      </c>
      <c r="B90">
        <v>40</v>
      </c>
      <c r="C90">
        <f>0.564/SQRT(2^2+6^2+0^2)</f>
        <v>8.9176230016748279E-2</v>
      </c>
      <c r="D90">
        <f t="shared" si="17"/>
        <v>8.9176230016748292E-11</v>
      </c>
      <c r="E90" s="2">
        <f>ASIN(6/SQRT(B90))*180/PI()</f>
        <v>71.56505117707799</v>
      </c>
      <c r="F90">
        <f t="shared" si="18"/>
        <v>1.6919999999999999E-10</v>
      </c>
      <c r="G90" t="e">
        <f>2/0</f>
        <v>#DIV/0!</v>
      </c>
      <c r="H90" s="1"/>
      <c r="I90" s="4" t="s">
        <v>64</v>
      </c>
      <c r="J90" s="4" t="s">
        <v>64</v>
      </c>
      <c r="K90" s="5" t="s">
        <v>65</v>
      </c>
      <c r="L90" s="5" t="s">
        <v>65</v>
      </c>
      <c r="M90" s="11"/>
      <c r="N90" s="12"/>
      <c r="O90" s="12"/>
    </row>
    <row r="91" spans="1:15" x14ac:dyDescent="0.25">
      <c r="A91" s="1" t="s">
        <v>5</v>
      </c>
      <c r="B91">
        <v>24</v>
      </c>
      <c r="C91">
        <f>0.564/SQRT(2^2+2^2+4^2)</f>
        <v>0.11512601791080937</v>
      </c>
      <c r="D91">
        <f t="shared" si="17"/>
        <v>1.1512601791080939E-10</v>
      </c>
      <c r="E91" s="2">
        <f>ASIN(2/SQRT(B91))*180/PI()</f>
        <v>24.094842552110705</v>
      </c>
      <c r="F91">
        <f t="shared" si="18"/>
        <v>9.4000000000000037E-11</v>
      </c>
      <c r="G91">
        <f>2/4</f>
        <v>0.5</v>
      </c>
      <c r="H91" s="1"/>
      <c r="I91" s="4" t="s">
        <v>64</v>
      </c>
      <c r="J91" s="4" t="s">
        <v>64</v>
      </c>
      <c r="K91" s="4" t="s">
        <v>64</v>
      </c>
      <c r="L91" s="4" t="s">
        <v>64</v>
      </c>
      <c r="M91" s="13" t="str">
        <f>A91</f>
        <v>224</v>
      </c>
      <c r="N91" s="8">
        <f>E91</f>
        <v>24.094842552110705</v>
      </c>
      <c r="O91" s="4">
        <f>G91</f>
        <v>0.5</v>
      </c>
    </row>
    <row r="92" spans="1:15" x14ac:dyDescent="0.25">
      <c r="A92" s="1" t="s">
        <v>6</v>
      </c>
      <c r="B92">
        <v>24</v>
      </c>
      <c r="C92">
        <f>0.564/SQRT(2^2+2^2+4^2)</f>
        <v>0.11512601791080937</v>
      </c>
      <c r="D92">
        <f t="shared" si="17"/>
        <v>1.1512601791080939E-10</v>
      </c>
      <c r="E92" s="2">
        <f>ASIN(2/SQRT(B92))*180/PI()</f>
        <v>24.094842552110705</v>
      </c>
      <c r="F92">
        <f t="shared" si="18"/>
        <v>9.4000000000000037E-11</v>
      </c>
      <c r="G92">
        <f>4/2</f>
        <v>2</v>
      </c>
      <c r="H92" s="1"/>
      <c r="I92" s="4" t="s">
        <v>64</v>
      </c>
      <c r="J92" s="4" t="s">
        <v>64</v>
      </c>
      <c r="K92" s="4" t="s">
        <v>64</v>
      </c>
      <c r="L92" s="4" t="s">
        <v>64</v>
      </c>
      <c r="M92" s="13" t="str">
        <f>A92</f>
        <v>242</v>
      </c>
      <c r="N92" s="8">
        <f>E92</f>
        <v>24.094842552110705</v>
      </c>
      <c r="O92" s="4">
        <f>G92</f>
        <v>2</v>
      </c>
    </row>
    <row r="93" spans="1:15" x14ac:dyDescent="0.25">
      <c r="A93" s="1" t="s">
        <v>7</v>
      </c>
      <c r="B93">
        <v>24</v>
      </c>
      <c r="C93">
        <f>0.564/SQRT(2^2+2^2+4^2)</f>
        <v>0.11512601791080937</v>
      </c>
      <c r="D93">
        <f t="shared" si="17"/>
        <v>1.1512601791080939E-10</v>
      </c>
      <c r="E93" s="2">
        <f>ASIN(4/SQRT(B93))*180/PI()</f>
        <v>54.735610317245353</v>
      </c>
      <c r="F93">
        <f t="shared" si="18"/>
        <v>1.8800000000000005E-10</v>
      </c>
      <c r="G93">
        <f>2/2</f>
        <v>1</v>
      </c>
      <c r="H93" s="1"/>
      <c r="I93" s="4" t="s">
        <v>64</v>
      </c>
      <c r="J93" s="4" t="s">
        <v>64</v>
      </c>
      <c r="K93" s="5" t="s">
        <v>65</v>
      </c>
      <c r="L93" s="5" t="s">
        <v>65</v>
      </c>
      <c r="M93" s="11"/>
      <c r="N93" s="12"/>
      <c r="O93" s="12"/>
    </row>
    <row r="94" spans="1:15" x14ac:dyDescent="0.25">
      <c r="A94" s="1" t="s">
        <v>25</v>
      </c>
      <c r="B94">
        <v>44</v>
      </c>
      <c r="C94">
        <f>0.564/SQRT(2^2+2^2+6^2)</f>
        <v>8.5026199170929337E-2</v>
      </c>
      <c r="D94">
        <f t="shared" si="17"/>
        <v>8.5026199170929351E-11</v>
      </c>
      <c r="E94" s="2">
        <f>ASIN(2/SQRT(B94))*180/PI()</f>
        <v>17.5484006137923</v>
      </c>
      <c r="F94">
        <f t="shared" si="18"/>
        <v>5.1272727272727282E-11</v>
      </c>
      <c r="G94">
        <f>2/6</f>
        <v>0.33333333333333331</v>
      </c>
      <c r="H94" s="1"/>
      <c r="I94" s="4" t="s">
        <v>64</v>
      </c>
      <c r="J94" s="4" t="s">
        <v>64</v>
      </c>
      <c r="K94" s="4" t="s">
        <v>64</v>
      </c>
      <c r="L94" s="4" t="s">
        <v>64</v>
      </c>
      <c r="M94" s="13" t="str">
        <f>A94</f>
        <v>226</v>
      </c>
      <c r="N94" s="8">
        <f>E94</f>
        <v>17.5484006137923</v>
      </c>
      <c r="O94" s="4">
        <f>G94</f>
        <v>0.33333333333333331</v>
      </c>
    </row>
    <row r="95" spans="1:15" x14ac:dyDescent="0.25">
      <c r="A95" s="1" t="s">
        <v>26</v>
      </c>
      <c r="B95">
        <v>44</v>
      </c>
      <c r="C95">
        <f>0.564/SQRT(2^2+2^2+6^2)</f>
        <v>8.5026199170929337E-2</v>
      </c>
      <c r="D95">
        <f t="shared" si="17"/>
        <v>8.5026199170929351E-11</v>
      </c>
      <c r="E95" s="2">
        <f>ASIN(2/SQRT(B95))*180/PI()</f>
        <v>17.5484006137923</v>
      </c>
      <c r="F95">
        <f t="shared" si="18"/>
        <v>5.1272727272727282E-11</v>
      </c>
      <c r="G95">
        <f>6/2</f>
        <v>3</v>
      </c>
      <c r="H95" s="1"/>
      <c r="I95" s="4" t="s">
        <v>64</v>
      </c>
      <c r="J95" s="4" t="s">
        <v>64</v>
      </c>
      <c r="K95" s="4" t="s">
        <v>64</v>
      </c>
      <c r="L95" s="4" t="s">
        <v>64</v>
      </c>
      <c r="M95" s="13" t="str">
        <f>A95</f>
        <v>262</v>
      </c>
      <c r="N95" s="8">
        <f>E95</f>
        <v>17.5484006137923</v>
      </c>
      <c r="O95" s="4">
        <f>G95</f>
        <v>3</v>
      </c>
    </row>
    <row r="96" spans="1:15" x14ac:dyDescent="0.25">
      <c r="A96" s="1" t="s">
        <v>27</v>
      </c>
      <c r="B96">
        <v>44</v>
      </c>
      <c r="C96">
        <f>0.564/SQRT(2^2+2^2+6^2)</f>
        <v>8.5026199170929337E-2</v>
      </c>
      <c r="D96">
        <f t="shared" si="17"/>
        <v>8.5026199170929351E-11</v>
      </c>
      <c r="E96" s="2">
        <f>ASIN(6/SQRT(B96))*180/PI()</f>
        <v>64.760598179321079</v>
      </c>
      <c r="F96">
        <f t="shared" si="18"/>
        <v>1.5381818181818181E-10</v>
      </c>
      <c r="G96">
        <f>2/2</f>
        <v>1</v>
      </c>
      <c r="H96" s="1"/>
      <c r="I96" s="4" t="s">
        <v>64</v>
      </c>
      <c r="J96" s="4" t="s">
        <v>64</v>
      </c>
      <c r="K96" s="5" t="s">
        <v>65</v>
      </c>
      <c r="L96" s="5" t="s">
        <v>65</v>
      </c>
      <c r="M96" s="11"/>
      <c r="N96" s="12"/>
      <c r="O96" s="12"/>
    </row>
    <row r="97" spans="1:15" x14ac:dyDescent="0.25">
      <c r="A97" s="1" t="s">
        <v>8</v>
      </c>
      <c r="B97">
        <v>36</v>
      </c>
      <c r="C97">
        <f>0.564/SQRT(2^2+4^2+4^2)</f>
        <v>9.3999999999999986E-2</v>
      </c>
      <c r="D97">
        <f t="shared" si="17"/>
        <v>9.3999999999999999E-11</v>
      </c>
      <c r="E97" s="2">
        <f>ASIN(2/SQRT(B97))*180/PI()</f>
        <v>19.471220634490692</v>
      </c>
      <c r="F97">
        <f t="shared" si="18"/>
        <v>6.2666666666666657E-11</v>
      </c>
      <c r="G97">
        <f>4/4</f>
        <v>1</v>
      </c>
      <c r="H97" s="1"/>
      <c r="I97" s="4" t="s">
        <v>64</v>
      </c>
      <c r="J97" s="4" t="s">
        <v>64</v>
      </c>
      <c r="K97" s="4" t="s">
        <v>64</v>
      </c>
      <c r="L97" s="4" t="s">
        <v>64</v>
      </c>
      <c r="M97" s="13" t="str">
        <f>A97</f>
        <v>244</v>
      </c>
      <c r="N97" s="8">
        <f>E97</f>
        <v>19.471220634490692</v>
      </c>
      <c r="O97" s="4">
        <f>G97</f>
        <v>1</v>
      </c>
    </row>
    <row r="98" spans="1:15" x14ac:dyDescent="0.25">
      <c r="A98" s="1" t="s">
        <v>9</v>
      </c>
      <c r="B98">
        <v>36</v>
      </c>
      <c r="C98">
        <f>0.564/SQRT(2^2+4^2+4^2)</f>
        <v>9.3999999999999986E-2</v>
      </c>
      <c r="D98">
        <f t="shared" si="17"/>
        <v>9.3999999999999999E-11</v>
      </c>
      <c r="E98" s="2">
        <f>ASIN(4/SQRT(B98))*180/PI()</f>
        <v>41.810314895778596</v>
      </c>
      <c r="F98">
        <f t="shared" si="18"/>
        <v>1.2533333333333331E-10</v>
      </c>
      <c r="G98">
        <f>2/4</f>
        <v>0.5</v>
      </c>
      <c r="H98" s="1"/>
      <c r="I98" s="4" t="s">
        <v>64</v>
      </c>
      <c r="J98" s="4" t="s">
        <v>64</v>
      </c>
      <c r="K98" s="5" t="s">
        <v>65</v>
      </c>
      <c r="L98" s="5" t="s">
        <v>65</v>
      </c>
      <c r="M98" s="11"/>
      <c r="N98" s="12"/>
      <c r="O98" s="12"/>
    </row>
    <row r="99" spans="1:15" x14ac:dyDescent="0.25">
      <c r="A99" s="1" t="s">
        <v>10</v>
      </c>
      <c r="B99">
        <v>36</v>
      </c>
      <c r="C99">
        <f>0.564/SQRT(2^2+4^2+4^2)</f>
        <v>9.3999999999999986E-2</v>
      </c>
      <c r="D99">
        <f t="shared" si="17"/>
        <v>9.3999999999999999E-11</v>
      </c>
      <c r="E99" s="2">
        <f>ASIN(4/SQRT(B99))*180/PI()</f>
        <v>41.810314895778596</v>
      </c>
      <c r="F99">
        <f t="shared" si="18"/>
        <v>1.2533333333333331E-10</v>
      </c>
      <c r="G99">
        <f>4/2</f>
        <v>2</v>
      </c>
      <c r="H99" s="1"/>
      <c r="I99" s="4" t="s">
        <v>64</v>
      </c>
      <c r="J99" s="4" t="s">
        <v>64</v>
      </c>
      <c r="K99" s="5" t="s">
        <v>65</v>
      </c>
      <c r="L99" s="5" t="s">
        <v>65</v>
      </c>
      <c r="M99" s="11"/>
      <c r="N99" s="12"/>
      <c r="O99" s="12"/>
    </row>
    <row r="100" spans="1:15" x14ac:dyDescent="0.25">
      <c r="A100" s="1" t="s">
        <v>28</v>
      </c>
      <c r="B100">
        <v>11</v>
      </c>
      <c r="C100">
        <f>0.564/SQRT(1^2+1^2+3^2)</f>
        <v>0.17005239834185867</v>
      </c>
      <c r="D100">
        <f t="shared" si="17"/>
        <v>1.700523983418587E-10</v>
      </c>
      <c r="E100" s="2">
        <f>ASIN(1/SQRT(B100))*180/PI()</f>
        <v>17.5484006137923</v>
      </c>
      <c r="F100">
        <f t="shared" si="18"/>
        <v>1.0254545454545456E-10</v>
      </c>
      <c r="G100">
        <f>1/3</f>
        <v>0.33333333333333331</v>
      </c>
      <c r="H100" s="1"/>
      <c r="I100" s="4" t="s">
        <v>64</v>
      </c>
      <c r="J100" s="4" t="s">
        <v>64</v>
      </c>
      <c r="K100" s="4" t="s">
        <v>64</v>
      </c>
      <c r="L100" s="4" t="s">
        <v>64</v>
      </c>
      <c r="M100" s="13" t="str">
        <f>A100</f>
        <v>113</v>
      </c>
      <c r="N100" s="8">
        <f>E100</f>
        <v>17.5484006137923</v>
      </c>
      <c r="O100" s="4">
        <f>G100</f>
        <v>0.33333333333333331</v>
      </c>
    </row>
    <row r="101" spans="1:15" x14ac:dyDescent="0.25">
      <c r="A101" s="1" t="s">
        <v>32</v>
      </c>
      <c r="B101">
        <v>11</v>
      </c>
      <c r="C101">
        <f>0.564/SQRT(1^2+1^2+3^2)</f>
        <v>0.17005239834185867</v>
      </c>
      <c r="D101">
        <f t="shared" si="17"/>
        <v>1.700523983418587E-10</v>
      </c>
      <c r="E101" s="2">
        <f>ASIN(1/SQRT(B101))*180/PI()</f>
        <v>17.5484006137923</v>
      </c>
      <c r="F101">
        <f t="shared" si="18"/>
        <v>1.0254545454545456E-10</v>
      </c>
      <c r="G101">
        <f>3/1</f>
        <v>3</v>
      </c>
      <c r="H101" s="1"/>
      <c r="I101" s="4" t="s">
        <v>64</v>
      </c>
      <c r="J101" s="4" t="s">
        <v>64</v>
      </c>
      <c r="K101" s="4" t="s">
        <v>64</v>
      </c>
      <c r="L101" s="4" t="s">
        <v>64</v>
      </c>
      <c r="M101" s="13" t="str">
        <f>A101</f>
        <v>131</v>
      </c>
      <c r="N101" s="8">
        <f>E101</f>
        <v>17.5484006137923</v>
      </c>
      <c r="O101" s="4">
        <f>G101</f>
        <v>3</v>
      </c>
    </row>
    <row r="102" spans="1:15" x14ac:dyDescent="0.25">
      <c r="A102" s="1" t="s">
        <v>36</v>
      </c>
      <c r="B102">
        <v>11</v>
      </c>
      <c r="C102">
        <f>0.564/SQRT(1^2+1^2+3^2)</f>
        <v>0.17005239834185867</v>
      </c>
      <c r="D102">
        <f t="shared" si="17"/>
        <v>1.700523983418587E-10</v>
      </c>
      <c r="E102" s="2">
        <f>ASIN(3/SQRT(B102))*180/PI()</f>
        <v>64.760598179321079</v>
      </c>
      <c r="F102">
        <f t="shared" si="18"/>
        <v>3.0763636363636363E-10</v>
      </c>
      <c r="G102">
        <f>1/1</f>
        <v>1</v>
      </c>
      <c r="H102" s="1"/>
      <c r="I102" s="4" t="s">
        <v>64</v>
      </c>
      <c r="J102" s="4" t="s">
        <v>64</v>
      </c>
      <c r="K102" s="5" t="s">
        <v>65</v>
      </c>
      <c r="L102" s="5" t="s">
        <v>65</v>
      </c>
      <c r="M102" s="11"/>
      <c r="N102" s="12"/>
      <c r="O102" s="12"/>
    </row>
    <row r="103" spans="1:15" x14ac:dyDescent="0.25">
      <c r="A103" s="1" t="s">
        <v>29</v>
      </c>
      <c r="B103">
        <v>27</v>
      </c>
      <c r="C103">
        <f>0.564/SQRT(1^2+1^2+5^2)</f>
        <v>0.10854185060764963</v>
      </c>
      <c r="D103">
        <f t="shared" si="17"/>
        <v>1.0854185060764965E-10</v>
      </c>
      <c r="E103" s="2">
        <f t="shared" ref="E103:E114" si="19">ASIN(1/SQRT(B103))*180/PI()</f>
        <v>11.095803283136393</v>
      </c>
      <c r="F103">
        <f t="shared" si="18"/>
        <v>4.177777777777778E-11</v>
      </c>
      <c r="G103">
        <f>1/5</f>
        <v>0.2</v>
      </c>
      <c r="H103" s="1"/>
      <c r="I103" s="5" t="s">
        <v>65</v>
      </c>
      <c r="J103" s="4" t="s">
        <v>64</v>
      </c>
      <c r="K103" s="4" t="s">
        <v>64</v>
      </c>
      <c r="L103" s="5" t="s">
        <v>65</v>
      </c>
      <c r="M103" s="11"/>
      <c r="N103" s="12"/>
      <c r="O103" s="12"/>
    </row>
    <row r="104" spans="1:15" x14ac:dyDescent="0.25">
      <c r="A104" s="1" t="s">
        <v>33</v>
      </c>
      <c r="B104">
        <v>27</v>
      </c>
      <c r="C104">
        <f>0.564/SQRT(1^2+1^2+5^2)</f>
        <v>0.10854185060764963</v>
      </c>
      <c r="D104">
        <f t="shared" si="17"/>
        <v>1.0854185060764965E-10</v>
      </c>
      <c r="E104" s="2">
        <f t="shared" si="19"/>
        <v>11.095803283136393</v>
      </c>
      <c r="F104">
        <f t="shared" si="18"/>
        <v>4.177777777777778E-11</v>
      </c>
      <c r="G104">
        <f>5/1</f>
        <v>5</v>
      </c>
      <c r="I104" s="5" t="s">
        <v>65</v>
      </c>
      <c r="J104" s="4" t="s">
        <v>64</v>
      </c>
      <c r="K104" s="4" t="s">
        <v>64</v>
      </c>
      <c r="L104" s="5" t="s">
        <v>65</v>
      </c>
      <c r="M104" s="11"/>
      <c r="N104" s="12"/>
      <c r="O104" s="12"/>
    </row>
    <row r="105" spans="1:15" x14ac:dyDescent="0.25">
      <c r="A105" s="1" t="s">
        <v>37</v>
      </c>
      <c r="B105">
        <v>27</v>
      </c>
      <c r="C105">
        <f>0.564/SQRT(1^2+1^2+5^2)</f>
        <v>0.10854185060764963</v>
      </c>
      <c r="D105">
        <f t="shared" si="17"/>
        <v>1.0854185060764965E-10</v>
      </c>
      <c r="E105" s="2">
        <f>ASIN(5/SQRT(B105))*180/PI()</f>
        <v>74.206830951736038</v>
      </c>
      <c r="F105">
        <f t="shared" si="18"/>
        <v>2.088888888888889E-10</v>
      </c>
      <c r="G105">
        <f>1/1</f>
        <v>1</v>
      </c>
      <c r="I105" s="4" t="s">
        <v>64</v>
      </c>
      <c r="J105" s="4" t="s">
        <v>64</v>
      </c>
      <c r="K105" s="5" t="s">
        <v>65</v>
      </c>
      <c r="L105" s="5" t="s">
        <v>65</v>
      </c>
      <c r="M105" s="11"/>
      <c r="N105" s="12"/>
      <c r="O105" s="12"/>
    </row>
    <row r="106" spans="1:15" x14ac:dyDescent="0.25">
      <c r="A106" s="1" t="s">
        <v>30</v>
      </c>
      <c r="B106">
        <v>19</v>
      </c>
      <c r="C106">
        <f>0.564/SQRT(1^2+3^2+3^2)</f>
        <v>0.12939047390299682</v>
      </c>
      <c r="D106">
        <f t="shared" si="17"/>
        <v>1.2939047390299682E-10</v>
      </c>
      <c r="E106" s="2">
        <f t="shared" ref="E106:E117" si="20">ASIN(1/SQRT(B106))*180/PI()</f>
        <v>13.262676008304846</v>
      </c>
      <c r="F106">
        <f t="shared" si="18"/>
        <v>5.9368421052631574E-11</v>
      </c>
      <c r="G106">
        <f>3/3</f>
        <v>1</v>
      </c>
      <c r="I106" s="4" t="s">
        <v>64</v>
      </c>
      <c r="J106" s="4" t="s">
        <v>64</v>
      </c>
      <c r="K106" s="4" t="s">
        <v>64</v>
      </c>
      <c r="L106" s="4" t="s">
        <v>64</v>
      </c>
      <c r="M106" s="13" t="str">
        <f>A106</f>
        <v>133</v>
      </c>
      <c r="N106" s="8">
        <f>E106</f>
        <v>13.262676008304846</v>
      </c>
      <c r="O106" s="4">
        <f>G106</f>
        <v>1</v>
      </c>
    </row>
    <row r="107" spans="1:15" x14ac:dyDescent="0.25">
      <c r="A107" s="1" t="s">
        <v>38</v>
      </c>
      <c r="B107">
        <v>19</v>
      </c>
      <c r="C107">
        <f>0.564/SQRT(1^2+3^2+3^2)</f>
        <v>0.12939047390299682</v>
      </c>
      <c r="D107">
        <f t="shared" si="17"/>
        <v>1.2939047390299682E-10</v>
      </c>
      <c r="E107" s="2">
        <f>ASIN(3/SQRT(B107))*180/PI()</f>
        <v>43.491519345091994</v>
      </c>
      <c r="F107">
        <f t="shared" si="18"/>
        <v>1.781052631578947E-10</v>
      </c>
      <c r="G107">
        <f>1/3</f>
        <v>0.33333333333333331</v>
      </c>
      <c r="I107" s="4" t="s">
        <v>64</v>
      </c>
      <c r="J107" s="4" t="s">
        <v>64</v>
      </c>
      <c r="K107" s="5" t="s">
        <v>65</v>
      </c>
      <c r="L107" s="5" t="s">
        <v>65</v>
      </c>
      <c r="M107" s="11"/>
      <c r="N107" s="12"/>
      <c r="O107" s="12"/>
    </row>
    <row r="108" spans="1:15" x14ac:dyDescent="0.25">
      <c r="A108" s="1" t="s">
        <v>34</v>
      </c>
      <c r="B108">
        <v>19</v>
      </c>
      <c r="C108">
        <f>0.564/SQRT(1^2+3^2+3^2)</f>
        <v>0.12939047390299682</v>
      </c>
      <c r="D108">
        <f t="shared" si="17"/>
        <v>1.2939047390299682E-10</v>
      </c>
      <c r="E108" s="2">
        <f>ASIN(3/SQRT(B108))*180/PI()</f>
        <v>43.491519345091994</v>
      </c>
      <c r="F108">
        <f t="shared" si="18"/>
        <v>1.781052631578947E-10</v>
      </c>
      <c r="G108">
        <f>3/1</f>
        <v>3</v>
      </c>
      <c r="I108" s="4" t="s">
        <v>64</v>
      </c>
      <c r="J108" s="4" t="s">
        <v>64</v>
      </c>
      <c r="K108" s="5" t="s">
        <v>65</v>
      </c>
      <c r="L108" s="5" t="s">
        <v>65</v>
      </c>
      <c r="M108" s="11"/>
      <c r="N108" s="12"/>
      <c r="O108" s="12"/>
    </row>
    <row r="109" spans="1:15" x14ac:dyDescent="0.25">
      <c r="A109" s="1" t="s">
        <v>31</v>
      </c>
      <c r="B109">
        <v>35</v>
      </c>
      <c r="C109">
        <f>0.564/SQRT(1^2+3^2+5^2)</f>
        <v>9.5333399933376653E-2</v>
      </c>
      <c r="D109">
        <f t="shared" si="17"/>
        <v>9.533339993337667E-11</v>
      </c>
      <c r="E109" s="2">
        <f t="shared" ref="E109:E120" si="21">ASIN(1/SQRT(B109))*180/PI()</f>
        <v>9.7314754731576265</v>
      </c>
      <c r="F109">
        <f t="shared" si="18"/>
        <v>3.2228571428571423E-11</v>
      </c>
      <c r="G109">
        <f>3/5</f>
        <v>0.6</v>
      </c>
      <c r="I109" s="5" t="s">
        <v>65</v>
      </c>
      <c r="J109" s="5" t="s">
        <v>65</v>
      </c>
      <c r="K109" s="4" t="s">
        <v>64</v>
      </c>
      <c r="L109" s="5" t="s">
        <v>65</v>
      </c>
      <c r="M109" s="11"/>
      <c r="N109" s="12"/>
      <c r="O109" s="12"/>
    </row>
    <row r="110" spans="1:15" x14ac:dyDescent="0.25">
      <c r="A110" s="1" t="s">
        <v>39</v>
      </c>
      <c r="B110">
        <v>35</v>
      </c>
      <c r="C110">
        <f>0.564/SQRT(1^2+3^2+5^2)</f>
        <v>9.5333399933376653E-2</v>
      </c>
      <c r="D110">
        <f t="shared" si="17"/>
        <v>9.533339993337667E-11</v>
      </c>
      <c r="E110" s="2">
        <f>ASIN(3/SQRT(B110))*180/PI()</f>
        <v>30.47035946597974</v>
      </c>
      <c r="F110">
        <f t="shared" si="18"/>
        <v>9.6685714285714296E-11</v>
      </c>
      <c r="G110">
        <f>1/5</f>
        <v>0.2</v>
      </c>
      <c r="I110" s="4" t="s">
        <v>64</v>
      </c>
      <c r="J110" s="4" t="s">
        <v>64</v>
      </c>
      <c r="K110" s="5" t="s">
        <v>65</v>
      </c>
      <c r="L110" s="5" t="s">
        <v>65</v>
      </c>
      <c r="M110" s="15"/>
      <c r="N110" s="16"/>
      <c r="O110" s="12"/>
    </row>
    <row r="111" spans="1:15" x14ac:dyDescent="0.25">
      <c r="A111" s="1" t="s">
        <v>35</v>
      </c>
      <c r="B111">
        <v>35</v>
      </c>
      <c r="C111">
        <f>0.564/SQRT(1^2+3^2+5^2)</f>
        <v>9.5333399933376653E-2</v>
      </c>
      <c r="D111">
        <f t="shared" si="17"/>
        <v>9.533339993337667E-11</v>
      </c>
      <c r="E111" s="2">
        <f>ASIN(3/SQRT(B111))*180/PI()</f>
        <v>30.47035946597974</v>
      </c>
      <c r="F111">
        <f t="shared" si="18"/>
        <v>9.6685714285714296E-11</v>
      </c>
      <c r="G111">
        <f>5/1</f>
        <v>5</v>
      </c>
      <c r="I111" s="4" t="s">
        <v>64</v>
      </c>
      <c r="J111" s="4" t="s">
        <v>64</v>
      </c>
      <c r="K111" s="5" t="s">
        <v>65</v>
      </c>
      <c r="L111" s="5" t="s">
        <v>65</v>
      </c>
      <c r="M111" s="15"/>
      <c r="N111" s="16"/>
      <c r="O111" s="12"/>
    </row>
    <row r="112" spans="1:15" x14ac:dyDescent="0.25">
      <c r="A112" s="1" t="s">
        <v>40</v>
      </c>
      <c r="B112">
        <v>35</v>
      </c>
      <c r="C112">
        <f>0.564/SQRT(1^2+3^2+5^2)</f>
        <v>9.5333399933376653E-2</v>
      </c>
      <c r="D112">
        <f t="shared" si="17"/>
        <v>9.533339993337667E-11</v>
      </c>
      <c r="E112" s="2">
        <f>ASIN(5/SQRT(B112))*180/PI()</f>
        <v>57.688466762576148</v>
      </c>
      <c r="F112">
        <f t="shared" si="18"/>
        <v>1.6114285714285713E-10</v>
      </c>
      <c r="G112">
        <f>3/1</f>
        <v>3</v>
      </c>
      <c r="I112" s="4" t="s">
        <v>64</v>
      </c>
      <c r="J112" s="4" t="s">
        <v>64</v>
      </c>
      <c r="K112" s="5" t="s">
        <v>65</v>
      </c>
      <c r="L112" s="5" t="s">
        <v>65</v>
      </c>
      <c r="M112" s="10"/>
      <c r="N112" s="12"/>
      <c r="O112" s="12"/>
    </row>
    <row r="113" spans="1:15" x14ac:dyDescent="0.25">
      <c r="A113" s="1" t="s">
        <v>41</v>
      </c>
      <c r="B113">
        <v>35</v>
      </c>
      <c r="C113">
        <f>0.564/SQRT(1^2+3^2+5^2)</f>
        <v>9.5333399933376653E-2</v>
      </c>
      <c r="D113">
        <f t="shared" si="17"/>
        <v>9.533339993337667E-11</v>
      </c>
      <c r="E113" s="2">
        <f>ASIN(5/SQRT(B113))*180/PI()</f>
        <v>57.688466762576148</v>
      </c>
      <c r="F113">
        <f t="shared" si="18"/>
        <v>1.6114285714285713E-10</v>
      </c>
      <c r="G113">
        <f>1/3</f>
        <v>0.33333333333333331</v>
      </c>
      <c r="I113" s="4" t="s">
        <v>64</v>
      </c>
      <c r="J113" s="4" t="s">
        <v>64</v>
      </c>
      <c r="K113" s="5" t="s">
        <v>65</v>
      </c>
      <c r="L113" s="5" t="s">
        <v>65</v>
      </c>
      <c r="M113" s="10"/>
      <c r="N113" s="12"/>
      <c r="O113" s="12"/>
    </row>
    <row r="114" spans="1:15" x14ac:dyDescent="0.25">
      <c r="A114" s="1" t="s">
        <v>42</v>
      </c>
      <c r="B114">
        <v>35</v>
      </c>
      <c r="C114">
        <f>0.564/SQRT(1^2+3^2+5^2)</f>
        <v>9.5333399933376653E-2</v>
      </c>
      <c r="D114">
        <f t="shared" si="17"/>
        <v>9.533339993337667E-11</v>
      </c>
      <c r="E114" s="2">
        <f t="shared" ref="E114:E124" si="22">ASIN(1/SQRT(B114))*180/PI()</f>
        <v>9.7314754731576265</v>
      </c>
      <c r="F114">
        <f t="shared" si="18"/>
        <v>3.2228571428571423E-11</v>
      </c>
      <c r="G114">
        <f>5/3</f>
        <v>1.6666666666666667</v>
      </c>
      <c r="I114" s="5" t="s">
        <v>65</v>
      </c>
      <c r="J114" s="5" t="s">
        <v>65</v>
      </c>
      <c r="K114" s="4" t="s">
        <v>64</v>
      </c>
      <c r="L114" s="5" t="s">
        <v>65</v>
      </c>
      <c r="M114" s="10"/>
      <c r="N114" s="12"/>
      <c r="O114" s="12"/>
    </row>
    <row r="115" spans="1:15" x14ac:dyDescent="0.25">
      <c r="A115" s="1" t="s">
        <v>43</v>
      </c>
      <c r="B115">
        <v>43</v>
      </c>
      <c r="C115">
        <f>0.564/SQRT(3^2+3^2+5^2)</f>
        <v>8.6009193667589023E-2</v>
      </c>
      <c r="D115">
        <f t="shared" si="17"/>
        <v>8.600919366758904E-11</v>
      </c>
      <c r="E115" s="2">
        <f>ASIN(3/SQRT(B115))*180/PI()</f>
        <v>27.225627998563958</v>
      </c>
      <c r="F115">
        <f t="shared" si="18"/>
        <v>7.8697674418604674E-11</v>
      </c>
      <c r="G115">
        <f>3/5</f>
        <v>0.6</v>
      </c>
      <c r="I115" s="4" t="s">
        <v>64</v>
      </c>
      <c r="J115" s="4" t="s">
        <v>64</v>
      </c>
      <c r="K115" s="5" t="s">
        <v>65</v>
      </c>
      <c r="L115" s="5" t="s">
        <v>65</v>
      </c>
      <c r="M115" s="15"/>
      <c r="N115" s="16"/>
      <c r="O115" s="12"/>
    </row>
    <row r="116" spans="1:15" x14ac:dyDescent="0.25">
      <c r="A116" s="1" t="s">
        <v>44</v>
      </c>
      <c r="B116">
        <v>43</v>
      </c>
      <c r="C116">
        <f>0.564/SQRT(3^2+3^2+5^2)</f>
        <v>8.6009193667589023E-2</v>
      </c>
      <c r="D116">
        <f t="shared" si="17"/>
        <v>8.600919366758904E-11</v>
      </c>
      <c r="E116" s="2">
        <f>ASIN(3/SQRT(B116))*180/PI()</f>
        <v>27.225627998563958</v>
      </c>
      <c r="F116">
        <f t="shared" si="18"/>
        <v>7.8697674418604674E-11</v>
      </c>
      <c r="G116">
        <f>5/3</f>
        <v>1.6666666666666667</v>
      </c>
      <c r="I116" s="4" t="s">
        <v>64</v>
      </c>
      <c r="J116" s="4" t="s">
        <v>64</v>
      </c>
      <c r="K116" s="5" t="s">
        <v>65</v>
      </c>
      <c r="L116" s="5" t="s">
        <v>65</v>
      </c>
      <c r="M116" s="15"/>
      <c r="N116" s="16"/>
      <c r="O116" s="12"/>
    </row>
    <row r="117" spans="1:15" x14ac:dyDescent="0.25">
      <c r="A117" s="1" t="s">
        <v>45</v>
      </c>
      <c r="B117">
        <v>43</v>
      </c>
      <c r="C117">
        <f>0.564/SQRT(3^2+3^2+5^2)</f>
        <v>8.6009193667589023E-2</v>
      </c>
      <c r="D117">
        <f t="shared" si="17"/>
        <v>8.600919366758904E-11</v>
      </c>
      <c r="E117" s="2">
        <f>ASIN(5/SQRT(B117))*180/PI()</f>
        <v>49.68445778922743</v>
      </c>
      <c r="F117">
        <f t="shared" si="18"/>
        <v>1.3116279069767443E-10</v>
      </c>
      <c r="G117">
        <f>3/3</f>
        <v>1</v>
      </c>
      <c r="I117" s="4" t="s">
        <v>64</v>
      </c>
      <c r="J117" s="4" t="s">
        <v>64</v>
      </c>
      <c r="K117" s="5" t="s">
        <v>65</v>
      </c>
      <c r="L117" s="5" t="s">
        <v>65</v>
      </c>
      <c r="M117" s="11"/>
      <c r="N117" s="12"/>
      <c r="O117" s="12"/>
    </row>
    <row r="118" spans="1:15" x14ac:dyDescent="0.25">
      <c r="A118" s="1" t="s">
        <v>50</v>
      </c>
      <c r="B118">
        <v>16</v>
      </c>
      <c r="C118">
        <f>0.564/SQRT(4^2+0^2+0^2)</f>
        <v>0.14099999999999999</v>
      </c>
      <c r="D118">
        <f t="shared" si="17"/>
        <v>1.41E-10</v>
      </c>
      <c r="E118" s="2">
        <f>ASIN(4/SQRT(B118))*180/PI()</f>
        <v>90</v>
      </c>
      <c r="F118">
        <f t="shared" si="18"/>
        <v>2.8200000000000001E-10</v>
      </c>
      <c r="G118" t="e">
        <f>0/0</f>
        <v>#DIV/0!</v>
      </c>
      <c r="I118" s="4" t="s">
        <v>64</v>
      </c>
      <c r="J118" s="4" t="s">
        <v>64</v>
      </c>
      <c r="K118" s="5" t="s">
        <v>65</v>
      </c>
      <c r="L118" s="5" t="s">
        <v>65</v>
      </c>
      <c r="M118" s="11"/>
      <c r="N118" s="12"/>
      <c r="O118" s="12"/>
    </row>
    <row r="119" spans="1:15" x14ac:dyDescent="0.25">
      <c r="A119" s="1" t="s">
        <v>51</v>
      </c>
      <c r="B119">
        <v>16</v>
      </c>
      <c r="C119">
        <f>0.564/SQRT(4^2+0^2+0^2)</f>
        <v>0.14099999999999999</v>
      </c>
      <c r="D119">
        <f t="shared" si="17"/>
        <v>1.41E-10</v>
      </c>
      <c r="E119" s="2">
        <f>ASIN(0/SQRT(B119))*180/PI()</f>
        <v>0</v>
      </c>
      <c r="F119">
        <f t="shared" si="18"/>
        <v>0</v>
      </c>
      <c r="G119" t="e">
        <f>4/0</f>
        <v>#DIV/0!</v>
      </c>
      <c r="I119" s="5" t="s">
        <v>65</v>
      </c>
      <c r="J119" s="5" t="s">
        <v>65</v>
      </c>
      <c r="K119" s="4" t="s">
        <v>64</v>
      </c>
      <c r="L119" s="5" t="s">
        <v>65</v>
      </c>
      <c r="M119" s="11"/>
      <c r="N119" s="12"/>
      <c r="O119" s="12"/>
    </row>
    <row r="120" spans="1:15" x14ac:dyDescent="0.25">
      <c r="A120" s="1" t="s">
        <v>52</v>
      </c>
      <c r="B120">
        <v>16</v>
      </c>
      <c r="C120">
        <f>0.564/SQRT(4^2+0^2+0^2)</f>
        <v>0.14099999999999999</v>
      </c>
      <c r="D120">
        <f t="shared" si="17"/>
        <v>1.41E-10</v>
      </c>
      <c r="E120" s="2">
        <f>ASIN(0/SQRT(B120))*180/PI()</f>
        <v>0</v>
      </c>
      <c r="F120">
        <f t="shared" si="18"/>
        <v>0</v>
      </c>
      <c r="G120">
        <f>0/4</f>
        <v>0</v>
      </c>
      <c r="I120" s="5" t="s">
        <v>65</v>
      </c>
      <c r="J120" s="5" t="s">
        <v>65</v>
      </c>
      <c r="K120" s="4" t="s">
        <v>64</v>
      </c>
      <c r="L120" s="5" t="s">
        <v>65</v>
      </c>
      <c r="M120" s="11"/>
      <c r="N120" s="12"/>
      <c r="O120" s="12"/>
    </row>
    <row r="121" spans="1:15" x14ac:dyDescent="0.25">
      <c r="A121" s="1" t="s">
        <v>53</v>
      </c>
      <c r="B121">
        <v>36</v>
      </c>
      <c r="C121">
        <f>0.564/SQRT(6^2+0^2+0^2)</f>
        <v>9.3999999999999986E-2</v>
      </c>
      <c r="D121">
        <f t="shared" si="17"/>
        <v>9.3999999999999999E-11</v>
      </c>
      <c r="E121" s="2">
        <f>ASIN(6/SQRT(B121))*180/PI()</f>
        <v>90</v>
      </c>
      <c r="F121">
        <f t="shared" si="18"/>
        <v>1.88E-10</v>
      </c>
      <c r="G121" t="e">
        <f>0/0</f>
        <v>#DIV/0!</v>
      </c>
      <c r="I121" s="4" t="s">
        <v>64</v>
      </c>
      <c r="J121" s="4" t="s">
        <v>64</v>
      </c>
      <c r="K121" s="5" t="s">
        <v>65</v>
      </c>
      <c r="L121" s="5" t="s">
        <v>65</v>
      </c>
      <c r="M121" s="11"/>
      <c r="N121" s="12"/>
      <c r="O121" s="12"/>
    </row>
    <row r="122" spans="1:15" x14ac:dyDescent="0.25">
      <c r="A122" s="1" t="s">
        <v>54</v>
      </c>
      <c r="B122">
        <v>36</v>
      </c>
      <c r="C122">
        <f>0.564/SQRT(6^2+0^2+0^2)</f>
        <v>9.3999999999999986E-2</v>
      </c>
      <c r="D122">
        <f t="shared" si="17"/>
        <v>9.3999999999999999E-11</v>
      </c>
      <c r="E122" s="2">
        <f>ASIN(0/SQRT(B122))*180/PI()</f>
        <v>0</v>
      </c>
      <c r="F122">
        <f t="shared" si="18"/>
        <v>0</v>
      </c>
      <c r="G122" t="e">
        <f>6/0</f>
        <v>#DIV/0!</v>
      </c>
      <c r="I122" s="5" t="s">
        <v>65</v>
      </c>
      <c r="J122" s="5" t="s">
        <v>65</v>
      </c>
      <c r="K122" s="4" t="s">
        <v>64</v>
      </c>
      <c r="L122" s="5" t="s">
        <v>65</v>
      </c>
      <c r="M122" s="11"/>
      <c r="N122" s="12"/>
      <c r="O122" s="12"/>
    </row>
    <row r="123" spans="1:15" ht="15.75" thickBot="1" x14ac:dyDescent="0.3">
      <c r="A123" s="1" t="s">
        <v>55</v>
      </c>
      <c r="B123">
        <v>36</v>
      </c>
      <c r="C123">
        <f>0.564/SQRT(6^2+0^2+0^2)</f>
        <v>9.3999999999999986E-2</v>
      </c>
      <c r="D123">
        <f t="shared" si="17"/>
        <v>9.3999999999999999E-11</v>
      </c>
      <c r="E123" s="2">
        <f>ASIN(0/SQRT(B123))*180/PI()</f>
        <v>0</v>
      </c>
      <c r="F123">
        <f t="shared" si="18"/>
        <v>0</v>
      </c>
      <c r="G123">
        <f>0/6</f>
        <v>0</v>
      </c>
      <c r="I123" s="5" t="s">
        <v>65</v>
      </c>
      <c r="J123" s="5" t="s">
        <v>65</v>
      </c>
      <c r="K123" s="6" t="s">
        <v>64</v>
      </c>
      <c r="L123" s="5" t="s">
        <v>65</v>
      </c>
      <c r="M123" s="11"/>
      <c r="N123" s="12"/>
      <c r="O123" s="12"/>
    </row>
    <row r="124" spans="1:15" ht="15.75" thickBot="1" x14ac:dyDescent="0.3">
      <c r="A124" s="1"/>
      <c r="C124" s="1"/>
      <c r="L124" s="7" t="s">
        <v>74</v>
      </c>
    </row>
    <row r="125" spans="1:15" x14ac:dyDescent="0.25">
      <c r="A125" s="1"/>
    </row>
    <row r="126" spans="1:15" x14ac:dyDescent="0.25">
      <c r="A126" s="1"/>
    </row>
    <row r="127" spans="1:15" x14ac:dyDescent="0.25">
      <c r="A127" s="1"/>
    </row>
    <row r="128" spans="1:15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</sheetData>
  <mergeCells count="2">
    <mergeCell ref="A1:C1"/>
    <mergeCell ref="A68:C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3c6f6-9d01-4763-a848-5d790db2a6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06E55AA2D944999070FD0574115EF" ma:contentTypeVersion="15" ma:contentTypeDescription="Create a new document." ma:contentTypeScope="" ma:versionID="4da9ab5f9ef20c1eb0fd42653a432772">
  <xsd:schema xmlns:xsd="http://www.w3.org/2001/XMLSchema" xmlns:xs="http://www.w3.org/2001/XMLSchema" xmlns:p="http://schemas.microsoft.com/office/2006/metadata/properties" xmlns:ns3="c6fb330b-4e4d-4f24-b07f-d9175d44b917" xmlns:ns4="61d3c6f6-9d01-4763-a848-5d790db2a61d" targetNamespace="http://schemas.microsoft.com/office/2006/metadata/properties" ma:root="true" ma:fieldsID="5a8286f652c306032605853f420084fb" ns3:_="" ns4:_="">
    <xsd:import namespace="c6fb330b-4e4d-4f24-b07f-d9175d44b917"/>
    <xsd:import namespace="61d3c6f6-9d01-4763-a848-5d790db2a61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OCR" minOccurs="0"/>
                <xsd:element ref="ns4:_activity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b330b-4e4d-4f24-b07f-d9175d44b9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3c6f6-9d01-4763-a848-5d790db2a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09C4AD-FD3F-4A03-A096-E64B8157342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1d3c6f6-9d01-4763-a848-5d790db2a61d"/>
    <ds:schemaRef ds:uri="c6fb330b-4e4d-4f24-b07f-d9175d44b917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04C124A-10A1-40ED-B5AE-DA10DFD748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B9E828-FB2A-4D20-9447-301564259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b330b-4e4d-4f24-b07f-d9175d44b917"/>
    <ds:schemaRef ds:uri="61d3c6f6-9d01-4763-a848-5d790db2a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</dc:creator>
  <cp:lastModifiedBy>Elijah Gill</cp:lastModifiedBy>
  <dcterms:created xsi:type="dcterms:W3CDTF">2024-03-07T09:42:37Z</dcterms:created>
  <dcterms:modified xsi:type="dcterms:W3CDTF">2024-03-14T11:54:57Z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0x010100B9606E55AA2D944999070FD0574115EF</vt:lpwstr>
  </property>
</Properties>
</file>